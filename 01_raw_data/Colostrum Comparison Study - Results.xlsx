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9.xml" ContentType="application/vnd.openxmlformats-officedocument.drawing+xml"/>
  <Override PartName="/xl/charts/chart2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0.xml" ContentType="application/vnd.openxmlformats-officedocument.drawing+xml"/>
  <Override PartName="/xl/charts/chart2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1.xml" ContentType="application/vnd.openxmlformats-officedocument.drawing+xml"/>
  <Override PartName="/xl/charts/chart2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5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6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2.xml" ContentType="application/vnd.openxmlformats-officedocument.drawing+xml"/>
  <Override PartName="/xl/charts/chart27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8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9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rusglobal-my.sharepoint.com/personal/lucia_pisoni_sccl_com/Documents/Desktop/UofG/Colostrum Comparison Study/"/>
    </mc:Choice>
  </mc:AlternateContent>
  <xr:revisionPtr revIDLastSave="0" documentId="8_{AB806B10-86FB-45C9-B190-854D636D6CBF}" xr6:coauthVersionLast="47" xr6:coauthVersionMax="47" xr10:uidLastSave="{00000000-0000-0000-0000-000000000000}"/>
  <bookViews>
    <workbookView xWindow="-110" yWindow="-110" windowWidth="19420" windowHeight="10300" firstSheet="3" activeTab="3" xr2:uid="{78578715-A04B-4D25-A019-EC526264538E}"/>
  </bookViews>
  <sheets>
    <sheet name="Dry matter" sheetId="2" r:id="rId1"/>
    <sheet name="Crude Protein" sheetId="3" r:id="rId2"/>
    <sheet name="IGF-1" sheetId="4" r:id="rId3"/>
    <sheet name="Total IgG" sheetId="5" r:id="rId4"/>
    <sheet name="IgG1" sheetId="6" r:id="rId5"/>
    <sheet name="IgG2" sheetId="7" r:id="rId6"/>
    <sheet name="Insulin" sheetId="8" r:id="rId7"/>
    <sheet name="Lactoferrin" sheetId="9" r:id="rId8"/>
    <sheet name="Lactose" sheetId="10" r:id="rId9"/>
    <sheet name="Oligosaccharides" sheetId="11" r:id="rId10"/>
    <sheet name="Macro and Trace Minerals" sheetId="12" r:id="rId11"/>
    <sheet name="SCFA DM" sheetId="13" r:id="rId12"/>
    <sheet name="MCFA and LCFA DM" sheetId="14" r:id="rId13"/>
  </sheets>
  <definedNames>
    <definedName name="MethodPointer1">1487032416</definedName>
    <definedName name="MethodPointer2">593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1" i="14" l="1"/>
  <c r="AB50" i="14"/>
  <c r="AB49" i="14"/>
  <c r="AB48" i="14"/>
  <c r="AB47" i="14"/>
  <c r="AB46" i="14"/>
  <c r="AB45" i="14"/>
  <c r="AB44" i="14"/>
  <c r="AB43" i="14"/>
  <c r="AB42" i="14"/>
  <c r="AB41" i="14"/>
  <c r="AB40" i="14"/>
  <c r="AB39" i="14"/>
  <c r="BE33" i="14"/>
  <c r="AB33" i="14"/>
  <c r="BE32" i="14"/>
  <c r="AB32" i="14"/>
  <c r="BE31" i="14"/>
  <c r="AB31" i="14"/>
  <c r="BE30" i="14"/>
  <c r="AB30" i="14"/>
  <c r="BE29" i="14"/>
  <c r="AB29" i="14"/>
  <c r="BE28" i="14"/>
  <c r="AB28" i="14"/>
  <c r="BE27" i="14"/>
  <c r="AB27" i="14"/>
  <c r="BE26" i="14"/>
  <c r="AB26" i="14"/>
  <c r="BE25" i="14"/>
  <c r="AB25" i="14"/>
  <c r="BE24" i="14"/>
  <c r="AB24" i="14"/>
  <c r="BE23" i="14"/>
  <c r="AB23" i="14"/>
  <c r="BE22" i="14"/>
  <c r="AB22" i="14"/>
  <c r="BE21" i="14"/>
  <c r="AB21" i="14"/>
  <c r="BA14" i="14"/>
  <c r="BA13" i="14"/>
  <c r="BA12" i="14"/>
  <c r="BA11" i="14"/>
  <c r="BA10" i="14"/>
  <c r="BA9" i="14"/>
  <c r="BA8" i="14"/>
  <c r="BA7" i="14"/>
  <c r="BA6" i="14"/>
  <c r="BA5" i="14"/>
  <c r="BA4" i="14"/>
  <c r="BA3" i="14"/>
  <c r="BA2" i="14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AB14" i="13"/>
  <c r="Y14" i="13"/>
  <c r="V14" i="13"/>
  <c r="S14" i="13"/>
  <c r="P14" i="13"/>
  <c r="M14" i="13"/>
  <c r="J14" i="13"/>
  <c r="G14" i="13"/>
  <c r="D14" i="13"/>
  <c r="AB13" i="13"/>
  <c r="Y13" i="13"/>
  <c r="V13" i="13"/>
  <c r="S13" i="13"/>
  <c r="P13" i="13"/>
  <c r="M13" i="13"/>
  <c r="J13" i="13"/>
  <c r="G13" i="13"/>
  <c r="D13" i="13"/>
  <c r="AB12" i="13"/>
  <c r="Y12" i="13"/>
  <c r="V12" i="13"/>
  <c r="S12" i="13"/>
  <c r="P12" i="13"/>
  <c r="M12" i="13"/>
  <c r="J12" i="13"/>
  <c r="G12" i="13"/>
  <c r="D12" i="13"/>
  <c r="AB11" i="13"/>
  <c r="Y11" i="13"/>
  <c r="V11" i="13"/>
  <c r="S11" i="13"/>
  <c r="P11" i="13"/>
  <c r="M11" i="13"/>
  <c r="J11" i="13"/>
  <c r="G11" i="13"/>
  <c r="D11" i="13"/>
  <c r="AB10" i="13"/>
  <c r="Y10" i="13"/>
  <c r="V10" i="13"/>
  <c r="S10" i="13"/>
  <c r="P10" i="13"/>
  <c r="M10" i="13"/>
  <c r="J10" i="13"/>
  <c r="G10" i="13"/>
  <c r="D10" i="13"/>
  <c r="AB9" i="13"/>
  <c r="Y9" i="13"/>
  <c r="V9" i="13"/>
  <c r="S9" i="13"/>
  <c r="P9" i="13"/>
  <c r="M9" i="13"/>
  <c r="J9" i="13"/>
  <c r="G9" i="13"/>
  <c r="D9" i="13"/>
  <c r="AB8" i="13"/>
  <c r="Y8" i="13"/>
  <c r="V8" i="13"/>
  <c r="S8" i="13"/>
  <c r="P8" i="13"/>
  <c r="M8" i="13"/>
  <c r="J8" i="13"/>
  <c r="G8" i="13"/>
  <c r="D8" i="13"/>
  <c r="AB7" i="13"/>
  <c r="Y7" i="13"/>
  <c r="V7" i="13"/>
  <c r="S7" i="13"/>
  <c r="P7" i="13"/>
  <c r="M7" i="13"/>
  <c r="J7" i="13"/>
  <c r="G7" i="13"/>
  <c r="D7" i="13"/>
  <c r="AB6" i="13"/>
  <c r="Y6" i="13"/>
  <c r="V6" i="13"/>
  <c r="S6" i="13"/>
  <c r="P6" i="13"/>
  <c r="M6" i="13"/>
  <c r="J6" i="13"/>
  <c r="G6" i="13"/>
  <c r="D6" i="13"/>
  <c r="AB5" i="13"/>
  <c r="Y5" i="13"/>
  <c r="V5" i="13"/>
  <c r="S5" i="13"/>
  <c r="P5" i="13"/>
  <c r="M5" i="13"/>
  <c r="J5" i="13"/>
  <c r="G5" i="13"/>
  <c r="D5" i="13"/>
  <c r="AB4" i="13"/>
  <c r="Y4" i="13"/>
  <c r="V4" i="13"/>
  <c r="S4" i="13"/>
  <c r="P4" i="13"/>
  <c r="M4" i="13"/>
  <c r="J4" i="13"/>
  <c r="G4" i="13"/>
  <c r="D4" i="13"/>
  <c r="AB3" i="13"/>
  <c r="Y3" i="13"/>
  <c r="V3" i="13"/>
  <c r="S3" i="13"/>
  <c r="P3" i="13"/>
  <c r="M3" i="13"/>
  <c r="J3" i="13"/>
  <c r="G3" i="13"/>
  <c r="D3" i="13"/>
  <c r="AB2" i="13"/>
  <c r="Y2" i="13"/>
  <c r="V2" i="13"/>
  <c r="S2" i="13"/>
  <c r="P2" i="13"/>
  <c r="M2" i="13"/>
  <c r="J2" i="13"/>
  <c r="G2" i="13"/>
  <c r="D2" i="13"/>
  <c r="AE11" i="12" l="1"/>
  <c r="AB11" i="12"/>
  <c r="Y11" i="12"/>
  <c r="V11" i="12"/>
  <c r="S11" i="12"/>
  <c r="P11" i="12"/>
  <c r="M11" i="12"/>
  <c r="J11" i="12"/>
  <c r="G11" i="12"/>
  <c r="D11" i="12"/>
  <c r="AE10" i="12"/>
  <c r="AB10" i="12"/>
  <c r="Y10" i="12"/>
  <c r="V10" i="12"/>
  <c r="S10" i="12"/>
  <c r="P10" i="12"/>
  <c r="M10" i="12"/>
  <c r="J10" i="12"/>
  <c r="G10" i="12"/>
  <c r="D10" i="12"/>
  <c r="AE9" i="12"/>
  <c r="AB9" i="12"/>
  <c r="Y9" i="12"/>
  <c r="V9" i="12"/>
  <c r="S9" i="12"/>
  <c r="P9" i="12"/>
  <c r="M9" i="12"/>
  <c r="J9" i="12"/>
  <c r="G9" i="12"/>
  <c r="D9" i="12"/>
  <c r="AE8" i="12"/>
  <c r="AB8" i="12"/>
  <c r="Y8" i="12"/>
  <c r="V8" i="12"/>
  <c r="S8" i="12"/>
  <c r="P8" i="12"/>
  <c r="M8" i="12"/>
  <c r="J8" i="12"/>
  <c r="G8" i="12"/>
  <c r="D8" i="12"/>
  <c r="AE7" i="12"/>
  <c r="AB7" i="12"/>
  <c r="Y7" i="12"/>
  <c r="V7" i="12"/>
  <c r="S7" i="12"/>
  <c r="P7" i="12"/>
  <c r="M7" i="12"/>
  <c r="J7" i="12"/>
  <c r="G7" i="12"/>
  <c r="D7" i="12"/>
  <c r="AE6" i="12"/>
  <c r="AB6" i="12"/>
  <c r="Y6" i="12"/>
  <c r="V6" i="12"/>
  <c r="S6" i="12"/>
  <c r="P6" i="12"/>
  <c r="M6" i="12"/>
  <c r="J6" i="12"/>
  <c r="G6" i="12"/>
  <c r="D6" i="12"/>
  <c r="AE5" i="12"/>
  <c r="AB5" i="12"/>
  <c r="Y5" i="12"/>
  <c r="V5" i="12"/>
  <c r="S5" i="12"/>
  <c r="P5" i="12"/>
  <c r="M5" i="12"/>
  <c r="J5" i="12"/>
  <c r="G5" i="12"/>
  <c r="D5" i="12"/>
  <c r="AE4" i="12"/>
  <c r="AB4" i="12"/>
  <c r="Y4" i="12"/>
  <c r="V4" i="12"/>
  <c r="S4" i="12"/>
  <c r="P4" i="12"/>
  <c r="M4" i="12"/>
  <c r="J4" i="12"/>
  <c r="G4" i="12"/>
  <c r="D4" i="12"/>
  <c r="AE3" i="12"/>
  <c r="AB3" i="12"/>
  <c r="Y3" i="12"/>
  <c r="V3" i="12"/>
  <c r="S3" i="12"/>
  <c r="P3" i="12"/>
  <c r="M3" i="12"/>
  <c r="J3" i="12"/>
  <c r="G3" i="12"/>
  <c r="D3" i="12"/>
  <c r="F125" i="11"/>
  <c r="F124" i="11"/>
  <c r="F123" i="11"/>
  <c r="F122" i="11"/>
  <c r="F121" i="11"/>
  <c r="F120" i="11"/>
  <c r="F119" i="11"/>
  <c r="F118" i="11"/>
  <c r="F117" i="11"/>
  <c r="F116" i="11"/>
  <c r="F115" i="11"/>
  <c r="F114" i="11"/>
  <c r="F113" i="11"/>
  <c r="J108" i="11"/>
  <c r="H108" i="11"/>
  <c r="F108" i="11"/>
  <c r="D108" i="11"/>
  <c r="K108" i="11" s="1"/>
  <c r="J107" i="11"/>
  <c r="H107" i="11"/>
  <c r="F107" i="11"/>
  <c r="D107" i="11"/>
  <c r="K107" i="11" s="1"/>
  <c r="J106" i="11"/>
  <c r="H106" i="11"/>
  <c r="F106" i="11"/>
  <c r="D106" i="11"/>
  <c r="K106" i="11" s="1"/>
  <c r="J105" i="11"/>
  <c r="H105" i="11"/>
  <c r="F105" i="11"/>
  <c r="D105" i="11"/>
  <c r="K105" i="11" s="1"/>
  <c r="J104" i="11"/>
  <c r="H104" i="11"/>
  <c r="F104" i="11"/>
  <c r="D104" i="11"/>
  <c r="K104" i="11" s="1"/>
  <c r="J103" i="11"/>
  <c r="H103" i="11"/>
  <c r="F103" i="11"/>
  <c r="D103" i="11"/>
  <c r="K103" i="11" s="1"/>
  <c r="J102" i="11"/>
  <c r="H102" i="11"/>
  <c r="F102" i="11"/>
  <c r="D102" i="11"/>
  <c r="K102" i="11" s="1"/>
  <c r="J101" i="11"/>
  <c r="H101" i="11"/>
  <c r="F101" i="11"/>
  <c r="D101" i="11"/>
  <c r="K101" i="11" s="1"/>
  <c r="J100" i="11"/>
  <c r="H100" i="11"/>
  <c r="F100" i="11"/>
  <c r="D100" i="11"/>
  <c r="K100" i="11" s="1"/>
  <c r="J99" i="11"/>
  <c r="H99" i="11"/>
  <c r="F99" i="11"/>
  <c r="D99" i="11"/>
  <c r="K99" i="11" s="1"/>
  <c r="J98" i="11"/>
  <c r="H98" i="11"/>
  <c r="F98" i="11"/>
  <c r="D98" i="11"/>
  <c r="K98" i="11" s="1"/>
  <c r="J97" i="11"/>
  <c r="H97" i="11"/>
  <c r="F97" i="11"/>
  <c r="D97" i="11"/>
  <c r="K97" i="11" s="1"/>
  <c r="J96" i="11"/>
  <c r="H96" i="11"/>
  <c r="F96" i="11"/>
  <c r="D96" i="11"/>
  <c r="K96" i="11" s="1"/>
  <c r="F91" i="11"/>
  <c r="F90" i="11"/>
  <c r="F89" i="11"/>
  <c r="F88" i="11"/>
  <c r="F87" i="11"/>
  <c r="F86" i="11"/>
  <c r="F85" i="11"/>
  <c r="F84" i="11"/>
  <c r="F83" i="11"/>
  <c r="F82" i="11"/>
  <c r="F81" i="11"/>
  <c r="F80" i="11"/>
  <c r="F79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W26" i="11"/>
  <c r="U26" i="11"/>
  <c r="S26" i="11"/>
  <c r="Q26" i="11"/>
  <c r="O26" i="11"/>
  <c r="L26" i="11"/>
  <c r="J26" i="11"/>
  <c r="H26" i="11"/>
  <c r="F26" i="11"/>
  <c r="N26" i="11" s="1"/>
  <c r="W24" i="11"/>
  <c r="U24" i="11"/>
  <c r="S24" i="11"/>
  <c r="Q24" i="11"/>
  <c r="O24" i="11"/>
  <c r="L24" i="11"/>
  <c r="J24" i="11"/>
  <c r="H24" i="11"/>
  <c r="F24" i="11"/>
  <c r="D24" i="11"/>
  <c r="N24" i="11" s="1"/>
  <c r="W22" i="11"/>
  <c r="U22" i="11"/>
  <c r="S22" i="11"/>
  <c r="Q22" i="11"/>
  <c r="O22" i="11"/>
  <c r="L22" i="11"/>
  <c r="J22" i="11"/>
  <c r="H22" i="11"/>
  <c r="F22" i="11"/>
  <c r="N22" i="11" s="1"/>
  <c r="D22" i="11"/>
  <c r="W20" i="11"/>
  <c r="U20" i="11"/>
  <c r="S20" i="11"/>
  <c r="Q20" i="11"/>
  <c r="O20" i="11"/>
  <c r="L20" i="11"/>
  <c r="J20" i="11"/>
  <c r="H20" i="11"/>
  <c r="F20" i="11"/>
  <c r="N20" i="11" s="1"/>
  <c r="D20" i="11"/>
  <c r="W18" i="11"/>
  <c r="U18" i="11"/>
  <c r="S18" i="11"/>
  <c r="Q18" i="11"/>
  <c r="O18" i="11"/>
  <c r="L18" i="11"/>
  <c r="J18" i="11"/>
  <c r="H18" i="11"/>
  <c r="F18" i="11"/>
  <c r="D18" i="11"/>
  <c r="N18" i="11" s="1"/>
  <c r="W16" i="11"/>
  <c r="U16" i="11"/>
  <c r="S16" i="11"/>
  <c r="Q16" i="11"/>
  <c r="O16" i="11"/>
  <c r="L16" i="11"/>
  <c r="J16" i="11"/>
  <c r="H16" i="11"/>
  <c r="F16" i="11"/>
  <c r="D16" i="11"/>
  <c r="N16" i="11" s="1"/>
  <c r="W14" i="11"/>
  <c r="U14" i="11"/>
  <c r="S14" i="11"/>
  <c r="Q14" i="11"/>
  <c r="O14" i="11"/>
  <c r="L14" i="11"/>
  <c r="J14" i="11"/>
  <c r="H14" i="11"/>
  <c r="F14" i="11"/>
  <c r="N14" i="11" s="1"/>
  <c r="D14" i="11"/>
  <c r="W12" i="11"/>
  <c r="U12" i="11"/>
  <c r="S12" i="11"/>
  <c r="Q12" i="11"/>
  <c r="O12" i="11"/>
  <c r="L12" i="11"/>
  <c r="J12" i="11"/>
  <c r="H12" i="11"/>
  <c r="F12" i="11"/>
  <c r="N12" i="11" s="1"/>
  <c r="D12" i="11"/>
  <c r="W10" i="11"/>
  <c r="U10" i="11"/>
  <c r="S10" i="11"/>
  <c r="Q10" i="11"/>
  <c r="O10" i="11"/>
  <c r="L10" i="11"/>
  <c r="J10" i="11"/>
  <c r="H10" i="11"/>
  <c r="F10" i="11"/>
  <c r="D10" i="11"/>
  <c r="N10" i="11" s="1"/>
  <c r="W8" i="11"/>
  <c r="U8" i="11"/>
  <c r="S8" i="11"/>
  <c r="Q8" i="11"/>
  <c r="O8" i="11"/>
  <c r="L8" i="11"/>
  <c r="J8" i="11"/>
  <c r="H8" i="11"/>
  <c r="F8" i="11"/>
  <c r="N8" i="11" s="1"/>
  <c r="W6" i="11"/>
  <c r="U6" i="11"/>
  <c r="S6" i="11"/>
  <c r="Q6" i="11"/>
  <c r="O6" i="11"/>
  <c r="L6" i="11"/>
  <c r="J6" i="11"/>
  <c r="H6" i="11"/>
  <c r="F6" i="11"/>
  <c r="N6" i="11" s="1"/>
  <c r="D6" i="11"/>
  <c r="W4" i="11"/>
  <c r="U4" i="11"/>
  <c r="S4" i="11"/>
  <c r="Q4" i="11"/>
  <c r="O4" i="11"/>
  <c r="L4" i="11"/>
  <c r="J4" i="11"/>
  <c r="H4" i="11"/>
  <c r="F4" i="11"/>
  <c r="D4" i="11"/>
  <c r="N4" i="11" s="1"/>
  <c r="W2" i="11"/>
  <c r="U2" i="11"/>
  <c r="S2" i="11"/>
  <c r="Q2" i="11"/>
  <c r="O2" i="11"/>
  <c r="L2" i="11"/>
  <c r="J2" i="11"/>
  <c r="H2" i="11"/>
  <c r="F2" i="11"/>
  <c r="N2" i="11" s="1"/>
  <c r="D68" i="10" l="1"/>
  <c r="D67" i="10"/>
  <c r="D66" i="10"/>
  <c r="D65" i="10"/>
  <c r="D64" i="10"/>
  <c r="D63" i="10"/>
  <c r="D62" i="10"/>
  <c r="D61" i="10"/>
  <c r="D60" i="10"/>
  <c r="D59" i="10"/>
  <c r="D58" i="10"/>
  <c r="D57" i="10"/>
  <c r="D56" i="10"/>
  <c r="D26" i="10"/>
  <c r="C26" i="10"/>
  <c r="D24" i="10"/>
  <c r="C24" i="10"/>
  <c r="D22" i="10"/>
  <c r="C22" i="10"/>
  <c r="D20" i="10"/>
  <c r="C20" i="10"/>
  <c r="D18" i="10"/>
  <c r="C18" i="10"/>
  <c r="D16" i="10"/>
  <c r="C16" i="10"/>
  <c r="D14" i="10"/>
  <c r="C14" i="10"/>
  <c r="D12" i="10"/>
  <c r="C12" i="10"/>
  <c r="D10" i="10"/>
  <c r="C10" i="10"/>
  <c r="D8" i="10"/>
  <c r="C8" i="10"/>
  <c r="D6" i="10"/>
  <c r="C6" i="10"/>
  <c r="D4" i="10"/>
  <c r="C4" i="10"/>
  <c r="D2" i="10"/>
  <c r="C2" i="10"/>
  <c r="D51" i="9" l="1"/>
  <c r="D50" i="9"/>
  <c r="D49" i="9"/>
  <c r="D48" i="9"/>
  <c r="D47" i="9"/>
  <c r="D46" i="9"/>
  <c r="D45" i="9"/>
  <c r="D44" i="9"/>
  <c r="D43" i="9"/>
  <c r="D42" i="9"/>
  <c r="D41" i="9"/>
  <c r="D40" i="9"/>
  <c r="D39" i="9"/>
  <c r="C32" i="9"/>
  <c r="C31" i="9"/>
  <c r="C30" i="9"/>
  <c r="C29" i="9"/>
  <c r="D48" i="8" l="1"/>
  <c r="D47" i="8"/>
  <c r="D46" i="8"/>
  <c r="D45" i="8"/>
  <c r="D44" i="8"/>
  <c r="D43" i="8"/>
  <c r="D42" i="8"/>
  <c r="D41" i="8"/>
  <c r="D40" i="8"/>
  <c r="D39" i="8"/>
  <c r="D38" i="8"/>
  <c r="D37" i="8"/>
  <c r="D36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G93" i="7" l="1"/>
  <c r="G92" i="7"/>
  <c r="G91" i="7"/>
  <c r="G90" i="7"/>
  <c r="G89" i="7"/>
  <c r="G88" i="7"/>
  <c r="G87" i="7"/>
  <c r="G86" i="7"/>
  <c r="G85" i="7"/>
  <c r="G84" i="7"/>
  <c r="G83" i="7"/>
  <c r="G82" i="7"/>
  <c r="G81" i="7"/>
  <c r="F46" i="7"/>
  <c r="F45" i="7"/>
  <c r="F44" i="7"/>
  <c r="F43" i="7"/>
  <c r="J29" i="7"/>
  <c r="K29" i="7" s="1"/>
  <c r="H29" i="7"/>
  <c r="G29" i="7"/>
  <c r="F29" i="7"/>
  <c r="G28" i="7"/>
  <c r="F28" i="7"/>
  <c r="H28" i="7" s="1"/>
  <c r="J28" i="7" s="1"/>
  <c r="K28" i="7" s="1"/>
  <c r="G27" i="7"/>
  <c r="F27" i="7"/>
  <c r="H27" i="7" s="1"/>
  <c r="J27" i="7" s="1"/>
  <c r="K27" i="7" s="1"/>
  <c r="H26" i="7"/>
  <c r="J26" i="7" s="1"/>
  <c r="K26" i="7" s="1"/>
  <c r="G26" i="7"/>
  <c r="F26" i="7"/>
  <c r="J25" i="7"/>
  <c r="K25" i="7" s="1"/>
  <c r="H25" i="7"/>
  <c r="G25" i="7"/>
  <c r="F25" i="7"/>
  <c r="G24" i="7"/>
  <c r="F24" i="7"/>
  <c r="H24" i="7" s="1"/>
  <c r="J24" i="7" s="1"/>
  <c r="K24" i="7" s="1"/>
  <c r="G23" i="7"/>
  <c r="F23" i="7"/>
  <c r="H23" i="7" s="1"/>
  <c r="J23" i="7" s="1"/>
  <c r="K23" i="7" s="1"/>
  <c r="H22" i="7"/>
  <c r="J22" i="7" s="1"/>
  <c r="K22" i="7" s="1"/>
  <c r="G22" i="7"/>
  <c r="F22" i="7"/>
  <c r="J21" i="7"/>
  <c r="K21" i="7" s="1"/>
  <c r="H21" i="7"/>
  <c r="G21" i="7"/>
  <c r="F21" i="7"/>
  <c r="G20" i="7"/>
  <c r="F20" i="7"/>
  <c r="H20" i="7" s="1"/>
  <c r="J20" i="7" s="1"/>
  <c r="K20" i="7" s="1"/>
  <c r="G19" i="7"/>
  <c r="F19" i="7"/>
  <c r="H19" i="7" s="1"/>
  <c r="J19" i="7" s="1"/>
  <c r="K19" i="7" s="1"/>
  <c r="H18" i="7"/>
  <c r="J18" i="7" s="1"/>
  <c r="K18" i="7" s="1"/>
  <c r="G18" i="7"/>
  <c r="F18" i="7"/>
  <c r="J17" i="7"/>
  <c r="K17" i="7" s="1"/>
  <c r="H17" i="7"/>
  <c r="G17" i="7"/>
  <c r="F17" i="7"/>
  <c r="E13" i="7"/>
  <c r="E12" i="7"/>
  <c r="D9" i="7"/>
  <c r="E9" i="7" s="1"/>
  <c r="D8" i="7"/>
  <c r="E8" i="7" s="1"/>
  <c r="D7" i="7"/>
  <c r="E7" i="7" s="1"/>
  <c r="D6" i="7"/>
  <c r="E6" i="7" s="1"/>
  <c r="D5" i="7"/>
  <c r="E5" i="7" s="1"/>
  <c r="D4" i="7"/>
  <c r="E4" i="7" s="1"/>
  <c r="D3" i="7"/>
  <c r="E3" i="7" s="1"/>
  <c r="D2" i="7"/>
  <c r="E2" i="7" s="1"/>
  <c r="E11" i="7" s="1"/>
  <c r="E14" i="7" s="1"/>
  <c r="D78" i="6" l="1"/>
  <c r="D77" i="6"/>
  <c r="D76" i="6"/>
  <c r="D75" i="6"/>
  <c r="D74" i="6"/>
  <c r="D73" i="6"/>
  <c r="D72" i="6"/>
  <c r="D71" i="6"/>
  <c r="D70" i="6"/>
  <c r="D69" i="6"/>
  <c r="D68" i="6"/>
  <c r="D67" i="6"/>
  <c r="D66" i="6"/>
  <c r="H29" i="6"/>
  <c r="J29" i="6" s="1"/>
  <c r="K29" i="6" s="1"/>
  <c r="G29" i="6"/>
  <c r="F29" i="6"/>
  <c r="J28" i="6"/>
  <c r="K28" i="6" s="1"/>
  <c r="H28" i="6"/>
  <c r="G28" i="6"/>
  <c r="F28" i="6"/>
  <c r="G27" i="6"/>
  <c r="F27" i="6"/>
  <c r="H27" i="6" s="1"/>
  <c r="J27" i="6" s="1"/>
  <c r="K27" i="6" s="1"/>
  <c r="G26" i="6"/>
  <c r="F26" i="6"/>
  <c r="H26" i="6" s="1"/>
  <c r="J26" i="6" s="1"/>
  <c r="K26" i="6" s="1"/>
  <c r="H25" i="6"/>
  <c r="J25" i="6" s="1"/>
  <c r="K25" i="6" s="1"/>
  <c r="G25" i="6"/>
  <c r="F25" i="6"/>
  <c r="J24" i="6"/>
  <c r="K24" i="6" s="1"/>
  <c r="H24" i="6"/>
  <c r="G24" i="6"/>
  <c r="F24" i="6"/>
  <c r="G23" i="6"/>
  <c r="F23" i="6"/>
  <c r="H23" i="6" s="1"/>
  <c r="J23" i="6" s="1"/>
  <c r="K23" i="6" s="1"/>
  <c r="G22" i="6"/>
  <c r="F22" i="6"/>
  <c r="H22" i="6" s="1"/>
  <c r="J22" i="6" s="1"/>
  <c r="K22" i="6" s="1"/>
  <c r="H21" i="6"/>
  <c r="J21" i="6" s="1"/>
  <c r="K21" i="6" s="1"/>
  <c r="G21" i="6"/>
  <c r="F21" i="6"/>
  <c r="J20" i="6"/>
  <c r="K20" i="6" s="1"/>
  <c r="H20" i="6"/>
  <c r="G20" i="6"/>
  <c r="F20" i="6"/>
  <c r="G19" i="6"/>
  <c r="F19" i="6"/>
  <c r="H19" i="6" s="1"/>
  <c r="J19" i="6" s="1"/>
  <c r="K19" i="6" s="1"/>
  <c r="G18" i="6"/>
  <c r="F18" i="6"/>
  <c r="H18" i="6" s="1"/>
  <c r="J18" i="6" s="1"/>
  <c r="K18" i="6" s="1"/>
  <c r="H17" i="6"/>
  <c r="J17" i="6" s="1"/>
  <c r="K17" i="6" s="1"/>
  <c r="G17" i="6"/>
  <c r="F17" i="6"/>
  <c r="E13" i="6"/>
  <c r="E12" i="6"/>
  <c r="D9" i="6"/>
  <c r="E9" i="6" s="1"/>
  <c r="D8" i="6"/>
  <c r="E8" i="6" s="1"/>
  <c r="D7" i="6"/>
  <c r="E7" i="6" s="1"/>
  <c r="D6" i="6"/>
  <c r="E6" i="6" s="1"/>
  <c r="D5" i="6"/>
  <c r="E5" i="6" s="1"/>
  <c r="D4" i="6"/>
  <c r="E4" i="6" s="1"/>
  <c r="D3" i="6"/>
  <c r="E3" i="6" s="1"/>
  <c r="D2" i="6"/>
  <c r="E2" i="6" s="1"/>
  <c r="E11" i="6" l="1"/>
  <c r="E14" i="6" s="1"/>
  <c r="D53" i="5" l="1"/>
  <c r="D52" i="5"/>
  <c r="D51" i="5"/>
  <c r="D50" i="5"/>
  <c r="D49" i="5"/>
  <c r="D48" i="5"/>
  <c r="D47" i="5"/>
  <c r="D46" i="5"/>
  <c r="D45" i="5"/>
  <c r="D44" i="5"/>
  <c r="D43" i="5"/>
  <c r="D42" i="5"/>
  <c r="D41" i="5"/>
  <c r="E29" i="5"/>
  <c r="D29" i="5"/>
  <c r="E26" i="5"/>
  <c r="D26" i="5"/>
  <c r="E23" i="5"/>
  <c r="D23" i="5"/>
  <c r="E20" i="5"/>
  <c r="D20" i="5"/>
  <c r="E18" i="5"/>
  <c r="D18" i="5"/>
  <c r="E16" i="5"/>
  <c r="D16" i="5"/>
  <c r="N14" i="5"/>
  <c r="L14" i="5"/>
  <c r="K14" i="5"/>
  <c r="E14" i="5"/>
  <c r="D14" i="5"/>
  <c r="N13" i="5"/>
  <c r="L13" i="5"/>
  <c r="K13" i="5"/>
  <c r="N12" i="5"/>
  <c r="L12" i="5"/>
  <c r="K12" i="5"/>
  <c r="E12" i="5"/>
  <c r="D12" i="5"/>
  <c r="N11" i="5"/>
  <c r="L11" i="5"/>
  <c r="K11" i="5"/>
  <c r="E10" i="5"/>
  <c r="D10" i="5"/>
  <c r="E8" i="5"/>
  <c r="D8" i="5"/>
  <c r="E6" i="5"/>
  <c r="D6" i="5"/>
  <c r="E4" i="5"/>
  <c r="D4" i="5"/>
  <c r="E2" i="5"/>
  <c r="D2" i="5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C30" i="4"/>
  <c r="C29" i="4"/>
  <c r="C28" i="4"/>
  <c r="C27" i="4"/>
  <c r="G25" i="3" l="1"/>
  <c r="G21" i="3"/>
  <c r="G28" i="3"/>
  <c r="G27" i="3"/>
  <c r="G26" i="3"/>
  <c r="G24" i="3"/>
  <c r="G23" i="3"/>
  <c r="G22" i="3"/>
  <c r="G20" i="3"/>
  <c r="H15" i="2" l="1"/>
  <c r="C15" i="2"/>
  <c r="H14" i="2"/>
  <c r="C14" i="2"/>
  <c r="H13" i="2"/>
  <c r="C13" i="2"/>
  <c r="H12" i="2"/>
  <c r="C12" i="2"/>
  <c r="H11" i="2"/>
  <c r="C11" i="2"/>
  <c r="H10" i="2"/>
  <c r="C10" i="2"/>
  <c r="H9" i="2"/>
  <c r="C9" i="2"/>
  <c r="H8" i="2"/>
  <c r="C8" i="2"/>
  <c r="H7" i="2"/>
  <c r="C7" i="2"/>
  <c r="H6" i="2"/>
  <c r="C6" i="2"/>
  <c r="H5" i="2"/>
  <c r="C5" i="2"/>
  <c r="H4" i="2"/>
  <c r="C4" i="2"/>
  <c r="H3" i="2"/>
  <c r="C3" i="2"/>
</calcChain>
</file>

<file path=xl/sharedStrings.xml><?xml version="1.0" encoding="utf-8"?>
<sst xmlns="http://schemas.openxmlformats.org/spreadsheetml/2006/main" count="1144" uniqueCount="334">
  <si>
    <t>Total Solids (%)</t>
  </si>
  <si>
    <t>Sample</t>
  </si>
  <si>
    <t>Final dry matter</t>
  </si>
  <si>
    <t>DM %</t>
  </si>
  <si>
    <t>Rep. A</t>
  </si>
  <si>
    <t>Rep. B</t>
  </si>
  <si>
    <t>Mean</t>
  </si>
  <si>
    <t>DM,%</t>
  </si>
  <si>
    <t>SE</t>
  </si>
  <si>
    <t>Beef colostrum</t>
  </si>
  <si>
    <t>Dairy Farm 1 - Summit</t>
  </si>
  <si>
    <t>Dairy Farm 2 - Walker</t>
  </si>
  <si>
    <t>Dairy Farm 3 - Elora</t>
  </si>
  <si>
    <t>Defatted Colostrum</t>
  </si>
  <si>
    <t>SCCL A - Pre trt</t>
  </si>
  <si>
    <t>SCCL B - Pre trt</t>
  </si>
  <si>
    <t>SCCL C - Pre trt</t>
  </si>
  <si>
    <t>SCCL D - Pre trt</t>
  </si>
  <si>
    <t>SCCL A - Dried</t>
  </si>
  <si>
    <t>SCCL B - Dried</t>
  </si>
  <si>
    <t>SCCL C - Dried</t>
  </si>
  <si>
    <t>SCCL D - Dried</t>
  </si>
  <si>
    <t>Sample ID</t>
  </si>
  <si>
    <t>Average CP, %</t>
  </si>
  <si>
    <t>Average CP, as is %</t>
  </si>
  <si>
    <t>BEEF1</t>
  </si>
  <si>
    <t>BEEF 2</t>
  </si>
  <si>
    <t>DF1-1</t>
  </si>
  <si>
    <t>Summit</t>
  </si>
  <si>
    <t>DF1-2</t>
  </si>
  <si>
    <t>DF2-1</t>
  </si>
  <si>
    <t>Walkers</t>
  </si>
  <si>
    <t>DF2-2</t>
  </si>
  <si>
    <t>DF3-1</t>
  </si>
  <si>
    <t>Elora</t>
  </si>
  <si>
    <t>DF3-2</t>
  </si>
  <si>
    <t>DEF-1</t>
  </si>
  <si>
    <t>Summit Defatted</t>
  </si>
  <si>
    <t>DEF-2</t>
  </si>
  <si>
    <t>SCCLA-1</t>
  </si>
  <si>
    <t>SCCLA-2</t>
  </si>
  <si>
    <t>SCCLB-1</t>
  </si>
  <si>
    <t>SCCLB-2</t>
  </si>
  <si>
    <t>SCCLC-1</t>
  </si>
  <si>
    <t>SCCLC-2</t>
  </si>
  <si>
    <t>POWDC-1</t>
  </si>
  <si>
    <t>POWDC-2</t>
  </si>
  <si>
    <t>Colostrum DM</t>
  </si>
  <si>
    <t>CP, % of DM</t>
  </si>
  <si>
    <t>POWDD-1</t>
  </si>
  <si>
    <t>POWDD-2</t>
  </si>
  <si>
    <t>As is used for the powder</t>
  </si>
  <si>
    <t>Average CP, % as is</t>
  </si>
  <si>
    <t>SEM</t>
  </si>
  <si>
    <t>Concentration (ng/mL)</t>
  </si>
  <si>
    <t xml:space="preserve">Sample ID </t>
  </si>
  <si>
    <t>IGF-I (ng/mL)</t>
  </si>
  <si>
    <t>Decay post treatment</t>
  </si>
  <si>
    <t>Defatted - Summit</t>
  </si>
  <si>
    <t>↑</t>
  </si>
  <si>
    <t>↓</t>
  </si>
  <si>
    <t>Colostrum DM,%</t>
  </si>
  <si>
    <t>Concentration corrected for DM, ng/mL of DM</t>
  </si>
  <si>
    <t>SD</t>
  </si>
  <si>
    <t>Origin</t>
  </si>
  <si>
    <t>Brix</t>
  </si>
  <si>
    <t>IgG</t>
  </si>
  <si>
    <t>Brix, %</t>
  </si>
  <si>
    <t>IgG, g/L</t>
  </si>
  <si>
    <t>Decay Brix Post trt</t>
  </si>
  <si>
    <t>Decay IgG Post trt</t>
  </si>
  <si>
    <t>Beef</t>
  </si>
  <si>
    <t>Dairy Farm 2 - Walkers</t>
  </si>
  <si>
    <t>Defatted COL</t>
  </si>
  <si>
    <t>SCCL A</t>
  </si>
  <si>
    <t>SCCL B</t>
  </si>
  <si>
    <t>SCCL C</t>
  </si>
  <si>
    <t>SCCL D</t>
  </si>
  <si>
    <t>IgG g/L DM,%</t>
  </si>
  <si>
    <t>Total IgG, g/L DM</t>
  </si>
  <si>
    <t>IgG1 g/L DM</t>
  </si>
  <si>
    <t>IgG2 g/L DM</t>
  </si>
  <si>
    <t>Concentration (ng/ml)</t>
  </si>
  <si>
    <t>Abs (Observed)</t>
  </si>
  <si>
    <t>Abs (Predicted - 4PL)</t>
  </si>
  <si>
    <t>Squared Error</t>
  </si>
  <si>
    <t>ST1</t>
  </si>
  <si>
    <t>Parameters (fit with Solver)</t>
  </si>
  <si>
    <t>ST2</t>
  </si>
  <si>
    <t>A (min)</t>
  </si>
  <si>
    <t>ST3</t>
  </si>
  <si>
    <t>B (slope)</t>
  </si>
  <si>
    <t>ST4</t>
  </si>
  <si>
    <t>C (EC50)</t>
  </si>
  <si>
    <t>ST5</t>
  </si>
  <si>
    <t>D (max)</t>
  </si>
  <si>
    <t>ST6</t>
  </si>
  <si>
    <t>ST7</t>
  </si>
  <si>
    <t>BLK</t>
  </si>
  <si>
    <t>Fitted 4PL equation:</t>
  </si>
  <si>
    <t>y = D + (A - D) / (1 + (x/C)^B)</t>
  </si>
  <si>
    <t>SSE</t>
  </si>
  <si>
    <t>Replace A,B,C,D with fitted values in G3:G6</t>
  </si>
  <si>
    <t>Mean Observed</t>
  </si>
  <si>
    <t>SST</t>
  </si>
  <si>
    <t>R_squared</t>
  </si>
  <si>
    <t>Unknown ID</t>
  </si>
  <si>
    <t>Rep1</t>
  </si>
  <si>
    <t>Rep2</t>
  </si>
  <si>
    <t>Rep3</t>
  </si>
  <si>
    <t>Rep4</t>
  </si>
  <si>
    <t>Mean Abs</t>
  </si>
  <si>
    <t>SD Abs</t>
  </si>
  <si>
    <t>Interpolated Conc (ng/ml)</t>
  </si>
  <si>
    <t>Dilution Factor</t>
  </si>
  <si>
    <t>Final Conc (ng/ml)</t>
  </si>
  <si>
    <t>Final Conc (g/L)</t>
  </si>
  <si>
    <t>UNK1</t>
  </si>
  <si>
    <t>UNK2</t>
  </si>
  <si>
    <t>UNK3</t>
  </si>
  <si>
    <t>UNK4</t>
  </si>
  <si>
    <t>UNK5</t>
  </si>
  <si>
    <t>UNK6</t>
  </si>
  <si>
    <t>UNK7</t>
  </si>
  <si>
    <t>UNK8</t>
  </si>
  <si>
    <t>UNK9</t>
  </si>
  <si>
    <t>UNK10</t>
  </si>
  <si>
    <t>UNK11</t>
  </si>
  <si>
    <t>UNK12</t>
  </si>
  <si>
    <t>UNK13</t>
  </si>
  <si>
    <t>IgG1, g/L</t>
  </si>
  <si>
    <r>
      <t>Average IgG1 concentration:</t>
    </r>
    <r>
      <rPr>
        <sz val="12"/>
        <color rgb="FF0A0A0A"/>
        <rFont val="Calibri"/>
        <family val="2"/>
        <scheme val="minor"/>
      </rPr>
      <t> Approximately 48 g/L in Holstein cows, with a range of 20 to &gt;100 g/L.</t>
    </r>
  </si>
  <si>
    <r>
      <t xml:space="preserve">The amount of </t>
    </r>
    <r>
      <rPr>
        <b/>
        <sz val="12"/>
        <color theme="1"/>
        <rFont val="Calibri"/>
        <family val="2"/>
        <scheme val="minor"/>
      </rPr>
      <t>IgG1 in beef bovine colostrum</t>
    </r>
    <r>
      <rPr>
        <sz val="12"/>
        <color theme="1"/>
        <rFont val="Calibri"/>
        <family val="2"/>
        <scheme val="minor"/>
      </rPr>
      <t xml:space="preserve"> is highly variable, with studies showing a wide range, such as 34.96 to 75 g/L</t>
    </r>
  </si>
  <si>
    <t>Well</t>
  </si>
  <si>
    <t>IgG2, g/L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</si>
  <si>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</si>
  <si>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</si>
  <si>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</si>
  <si>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</si>
  <si>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</si>
  <si>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</si>
  <si>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</si>
  <si>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</si>
  <si>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</si>
  <si>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Decay post trt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</si>
  <si>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</si>
  <si>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</si>
  <si>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</si>
  <si>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</si>
  <si>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</si>
  <si>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</si>
  <si>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</si>
  <si>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</si>
  <si>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</si>
  <si>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</si>
  <si>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</si>
  <si>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</si>
  <si>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</si>
  <si>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</si>
  <si>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</si>
  <si>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</si>
  <si>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</si>
  <si>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r>
      <t>The amount of IgG2 in bovine colostrum typically ranges from </t>
    </r>
    <r>
      <rPr>
        <b/>
        <sz val="11"/>
        <color theme="1"/>
        <rFont val="Calibri"/>
        <family val="2"/>
        <scheme val="minor"/>
      </rPr>
      <t>1.90 to 6.00 mg/mL</t>
    </r>
    <r>
      <rPr>
        <sz val="12"/>
        <color rgb="FF0A0A0A"/>
        <rFont val="Roboto"/>
      </rPr>
      <t>.</t>
    </r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</si>
  <si>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</si>
  <si>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</si>
  <si>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</si>
  <si>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</si>
  <si>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</si>
  <si>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</si>
  <si>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</si>
  <si>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</si>
  <si>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</si>
  <si>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</si>
  <si>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</si>
  <si>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</si>
  <si>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</si>
  <si>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</si>
  <si>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</si>
  <si>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</si>
  <si>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</si>
  <si>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</si>
  <si>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</si>
  <si>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</si>
  <si>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</si>
  <si>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</si>
  <si>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</si>
  <si>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</si>
  <si>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</si>
  <si>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</si>
  <si>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Physical Form</t>
  </si>
  <si>
    <t>Insulin (ng/mL)</t>
  </si>
  <si>
    <t>Insulin (ng/mL) - Corrected by dilution factor</t>
  </si>
  <si>
    <t>Liquid</t>
  </si>
  <si>
    <t>Powder</t>
  </si>
  <si>
    <t>STD</t>
  </si>
  <si>
    <t>Insulin, ng/mL DM</t>
  </si>
  <si>
    <t>Final con (ug/mL)</t>
  </si>
  <si>
    <t>Lactoferrin (ug/mL)</t>
  </si>
  <si>
    <t xml:space="preserve">Defatted - Summit </t>
  </si>
  <si>
    <t>Lactoferrin, ug/mL</t>
  </si>
  <si>
    <t>Lactoferrin, ug/mL DM</t>
  </si>
  <si>
    <t>Lactose (mg/mL)</t>
  </si>
  <si>
    <t>Lactose (mg/mL) - Mean</t>
  </si>
  <si>
    <t>Lactose (mg/mL) - SD</t>
  </si>
  <si>
    <t>Dairy 1 - Summit</t>
  </si>
  <si>
    <t>Dairy 2 - Walkers</t>
  </si>
  <si>
    <t>Dairy 3 - Elora</t>
  </si>
  <si>
    <t>Lactose, mg/mL DM</t>
  </si>
  <si>
    <t>Treatment</t>
  </si>
  <si>
    <t>Treatment Type</t>
  </si>
  <si>
    <t>3SLN ug/ml</t>
  </si>
  <si>
    <t>3SLN ug/ml - Mean</t>
  </si>
  <si>
    <t>3SL ug/ml</t>
  </si>
  <si>
    <t>3SL ug/ml - Mean</t>
  </si>
  <si>
    <t>6SLN ug/ml</t>
  </si>
  <si>
    <t>6SLN ug/ml - Mean</t>
  </si>
  <si>
    <t>6SL ug/ml - Mean</t>
  </si>
  <si>
    <t>6SL ug/ml</t>
  </si>
  <si>
    <t>DSL ug/mL</t>
  </si>
  <si>
    <t>DSL ug/mL - Mean</t>
  </si>
  <si>
    <t>CMP ug/ml</t>
  </si>
  <si>
    <t>Total OS, ug/ml</t>
  </si>
  <si>
    <t>CMP ug/ml - Mean</t>
  </si>
  <si>
    <t>CMP-Neu5Ac  ug/ml</t>
  </si>
  <si>
    <t>CMP-Neu5Ac  ug/ml - Mean</t>
  </si>
  <si>
    <t>CMP-Neu5Gc ug/ml</t>
  </si>
  <si>
    <t>CMP-Neu5Gc ug/ml - Mean</t>
  </si>
  <si>
    <t>Neu5Ac ug/ml</t>
  </si>
  <si>
    <t>Neu5Ac ug/ml - Mean</t>
  </si>
  <si>
    <t>Neu5Gc ug/ml</t>
  </si>
  <si>
    <t>Neu5Gc ug/ml - Mean</t>
  </si>
  <si>
    <t/>
  </si>
  <si>
    <t>Still around after drying</t>
  </si>
  <si>
    <t>Normally 1000</t>
  </si>
  <si>
    <t>1g/l in col</t>
  </si>
  <si>
    <t xml:space="preserve">Total OS, ug/mL </t>
  </si>
  <si>
    <t xml:space="preserve"> </t>
  </si>
  <si>
    <t>3SL ug/ml DM</t>
  </si>
  <si>
    <t xml:space="preserve">6SLN ug/ml </t>
  </si>
  <si>
    <t>6SLN ug/ml DM</t>
  </si>
  <si>
    <t>6SL ug/ml DM</t>
  </si>
  <si>
    <t xml:space="preserve">DSL ug/mL </t>
  </si>
  <si>
    <t>DSL ug/mL DM</t>
  </si>
  <si>
    <t>Na means</t>
  </si>
  <si>
    <t>Mg means</t>
  </si>
  <si>
    <t>P means</t>
  </si>
  <si>
    <t>K means</t>
  </si>
  <si>
    <t>Ca means</t>
  </si>
  <si>
    <t>Mn means</t>
  </si>
  <si>
    <t>Fe means</t>
  </si>
  <si>
    <t>Cu means</t>
  </si>
  <si>
    <t>Zn means</t>
  </si>
  <si>
    <t>Se means</t>
  </si>
  <si>
    <t xml:space="preserve">Sample </t>
  </si>
  <si>
    <t>Conc. mean [ mg/kg ]</t>
  </si>
  <si>
    <t>Conc. mean [ mg/kg ] DM</t>
  </si>
  <si>
    <t>Conc. Mean RSD</t>
  </si>
  <si>
    <t>Na</t>
  </si>
  <si>
    <t>Mg</t>
  </si>
  <si>
    <t>P</t>
  </si>
  <si>
    <t>K</t>
  </si>
  <si>
    <t>Ca</t>
  </si>
  <si>
    <t>Mn</t>
  </si>
  <si>
    <t>Fe</t>
  </si>
  <si>
    <t>Cu</t>
  </si>
  <si>
    <t>Zn</t>
  </si>
  <si>
    <t>Se</t>
  </si>
  <si>
    <t>Acetic Acid (mM)</t>
  </si>
  <si>
    <t>Acetic Acid, Mm DM</t>
  </si>
  <si>
    <t>Propionic Acid (mM)</t>
  </si>
  <si>
    <t>Propionic Acid, mM DM</t>
  </si>
  <si>
    <t>Isobutyric Acid (mM)</t>
  </si>
  <si>
    <t>Isobutyric Acid, Mm DM</t>
  </si>
  <si>
    <t>Butyric Acid (mM)</t>
  </si>
  <si>
    <t>Butyric Acid, mM DM</t>
  </si>
  <si>
    <t>Isovaleric Acid (mM)</t>
  </si>
  <si>
    <t>Isovaleric Acid, mM DM</t>
  </si>
  <si>
    <t>Valeric Acid (mM)</t>
  </si>
  <si>
    <t>Valeric Acid, Mm DM</t>
  </si>
  <si>
    <t>Isocaproic Acid (mM)</t>
  </si>
  <si>
    <t>Isocaproic Acid, Mm DM</t>
  </si>
  <si>
    <t>Hexanoic Acid (mM)</t>
  </si>
  <si>
    <t>Hexanoic Acid, mM DM</t>
  </si>
  <si>
    <t>Heptanoic Acid (mM)</t>
  </si>
  <si>
    <t>Heptanoic Acid, Mm DM</t>
  </si>
  <si>
    <t>Beef Colostrum</t>
  </si>
  <si>
    <t>Summit Dairy</t>
  </si>
  <si>
    <t>Walkers Dairy</t>
  </si>
  <si>
    <t>Elora Dairy</t>
  </si>
  <si>
    <t>SCCL A - Powder</t>
  </si>
  <si>
    <t>SCCL B - Powder</t>
  </si>
  <si>
    <t>SCCL C - Powder</t>
  </si>
  <si>
    <t>SCCL D - Powder</t>
  </si>
  <si>
    <t xml:space="preserve">Acetic Acid </t>
  </si>
  <si>
    <t>Acetic Acid  DM</t>
  </si>
  <si>
    <t xml:space="preserve">Propionic Acid </t>
  </si>
  <si>
    <t xml:space="preserve">Isobutyric Acid </t>
  </si>
  <si>
    <t xml:space="preserve">Butyric Acid </t>
  </si>
  <si>
    <t xml:space="preserve">Isovaleric Acid </t>
  </si>
  <si>
    <t xml:space="preserve">Valeric Acid </t>
  </si>
  <si>
    <t xml:space="preserve">Isocaproic Acid </t>
  </si>
  <si>
    <t>Hexanoic Acid</t>
  </si>
  <si>
    <t>Heptanoic Acid</t>
  </si>
  <si>
    <t>14:1c9</t>
  </si>
  <si>
    <t>18:2n6</t>
  </si>
  <si>
    <t>18:3n6</t>
  </si>
  <si>
    <t>18:3n3</t>
  </si>
  <si>
    <t>20:1c5</t>
  </si>
  <si>
    <t>20:1c8</t>
  </si>
  <si>
    <t>20:1c11</t>
  </si>
  <si>
    <t>20:2n6</t>
  </si>
  <si>
    <t>20:3n6</t>
  </si>
  <si>
    <t>20:5n3</t>
  </si>
  <si>
    <t>24:1n9</t>
  </si>
  <si>
    <t>22:4n6</t>
  </si>
  <si>
    <t>22:5n6</t>
  </si>
  <si>
    <t>22:5n3</t>
  </si>
  <si>
    <t>22:6n3</t>
  </si>
  <si>
    <t>Total</t>
  </si>
  <si>
    <t xml:space="preserve"> (ug/mL colostrum) 1</t>
  </si>
  <si>
    <t xml:space="preserve"> (ug/mL colostrum) 3</t>
  </si>
  <si>
    <t xml:space="preserve"> (ug/mL colostrum) 5</t>
  </si>
  <si>
    <t xml:space="preserve"> (ug/mL colostrum) 7</t>
  </si>
  <si>
    <t xml:space="preserve"> (ug/mL colostrum) 9</t>
  </si>
  <si>
    <t xml:space="preserve"> (ug/mL colostrum) 11</t>
  </si>
  <si>
    <t xml:space="preserve"> (ug/mL colostrum) 13</t>
  </si>
  <si>
    <t xml:space="preserve"> (ug/mL colostrum) 15</t>
  </si>
  <si>
    <t xml:space="preserve"> (ug/mL colostrum) 17</t>
  </si>
  <si>
    <t>(ug/0.1g colostrum) 19</t>
  </si>
  <si>
    <t>(ug/0.1g colostrum) 21</t>
  </si>
  <si>
    <t>(ug/0.1g colostrum) 23</t>
  </si>
  <si>
    <t>(ug/0.1g colostrum) 25</t>
  </si>
  <si>
    <t>In red= no DM calculated</t>
  </si>
  <si>
    <t>DM calculated for all of them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</si>
</sst>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0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A0A0A"/>
      <name val="Calibri"/>
      <family val="2"/>
      <scheme val="minor"/>
    </font>
    <font>
      <sz val="12"/>
      <color rgb="FF0A0A0A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12"/>
      <color rgb="FF0A0A0A"/>
      <name val="Roboto"/>
    </font>
    <font>
      <sz val="10"/>
      <name val="Arial"/>
      <family val="2"/>
    </font>
    <font>
      <b/>
      <sz val="12"/>
      <color rgb="FF000000"/>
      <name val="Inherit"/>
    </font>
    <font>
      <sz val="12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0" fillId="0" borderId="0"/>
    <xf numFmtId="0" fontId="16" fillId="0" borderId="0"/>
  </cellStyleXfs>
  <cellXfs count="13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2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/>
    <xf numFmtId="0" fontId="8" fillId="3" borderId="1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 vertical="center"/>
    </xf>
    <xf numFmtId="0" fontId="11" fillId="3" borderId="0" xfId="0" applyFont="1" applyFill="1"/>
    <xf numFmtId="164" fontId="0" fillId="5" borderId="1" xfId="0" applyNumberForma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/>
    </xf>
    <xf numFmtId="0" fontId="0" fillId="0" borderId="0" xfId="0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0" fontId="16" fillId="0" borderId="0" xfId="0" applyFont="1" applyAlignment="1">
      <alignment horizontal="left"/>
    </xf>
    <xf numFmtId="0" fontId="0" fillId="0" borderId="0" xfId="0" applyAlignment="1">
      <alignment vertical="center" readingOrder="1"/>
    </xf>
    <xf numFmtId="2" fontId="0" fillId="6" borderId="1" xfId="0" applyNumberFormat="1" applyFill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7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18" fillId="7" borderId="7" xfId="0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2" fontId="0" fillId="0" borderId="0" xfId="0" applyNumberFormat="1" applyAlignment="1">
      <alignment horizontal="left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7" fillId="0" borderId="1" xfId="1" applyFont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8" fillId="0" borderId="0" xfId="1" applyFont="1"/>
    <xf numFmtId="0" fontId="20" fillId="0" borderId="0" xfId="1"/>
    <xf numFmtId="0" fontId="8" fillId="0" borderId="1" xfId="1" applyFont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7" fillId="0" borderId="1" xfId="1" applyFont="1" applyBorder="1" applyAlignment="1">
      <alignment vertical="center"/>
    </xf>
    <xf numFmtId="0" fontId="8" fillId="0" borderId="1" xfId="1" applyFont="1" applyBorder="1"/>
    <xf numFmtId="0" fontId="8" fillId="3" borderId="1" xfId="1" applyFont="1" applyFill="1" applyBorder="1" applyAlignment="1">
      <alignment horizontal="center"/>
    </xf>
    <xf numFmtId="0" fontId="9" fillId="3" borderId="0" xfId="1" applyFont="1" applyFill="1" applyAlignment="1">
      <alignment horizontal="center"/>
    </xf>
    <xf numFmtId="0" fontId="10" fillId="5" borderId="1" xfId="1" applyFont="1" applyFill="1" applyBorder="1" applyAlignment="1">
      <alignment horizontal="center" vertical="center"/>
    </xf>
    <xf numFmtId="0" fontId="20" fillId="5" borderId="1" xfId="1" applyFill="1" applyBorder="1" applyAlignment="1">
      <alignment horizontal="center"/>
    </xf>
    <xf numFmtId="0" fontId="20" fillId="0" borderId="1" xfId="1" applyBorder="1" applyAlignment="1">
      <alignment horizontal="center"/>
    </xf>
    <xf numFmtId="2" fontId="20" fillId="0" borderId="1" xfId="1" applyNumberFormat="1" applyBorder="1" applyAlignment="1">
      <alignment horizontal="center"/>
    </xf>
    <xf numFmtId="0" fontId="20" fillId="0" borderId="1" xfId="1" applyBorder="1" applyAlignment="1">
      <alignment horizontal="center" vertical="center"/>
    </xf>
    <xf numFmtId="0" fontId="21" fillId="8" borderId="1" xfId="2" applyFont="1" applyFill="1" applyBorder="1" applyAlignment="1">
      <alignment horizontal="center" vertical="center"/>
    </xf>
    <xf numFmtId="0" fontId="21" fillId="4" borderId="1" xfId="2" applyFont="1" applyFill="1" applyBorder="1" applyAlignment="1">
      <alignment horizontal="center" vertical="center"/>
    </xf>
    <xf numFmtId="0" fontId="16" fillId="0" borderId="0" xfId="2"/>
    <xf numFmtId="0" fontId="16" fillId="0" borderId="1" xfId="2" applyBorder="1" applyAlignment="1">
      <alignment horizontal="center" vertical="center"/>
    </xf>
    <xf numFmtId="0" fontId="22" fillId="9" borderId="1" xfId="2" applyFont="1" applyFill="1" applyBorder="1" applyAlignment="1">
      <alignment horizontal="center" vertical="center"/>
    </xf>
    <xf numFmtId="0" fontId="16" fillId="4" borderId="1" xfId="2" applyFill="1" applyBorder="1" applyAlignment="1">
      <alignment horizontal="center"/>
    </xf>
    <xf numFmtId="0" fontId="16" fillId="4" borderId="1" xfId="2" applyFill="1" applyBorder="1"/>
    <xf numFmtId="0" fontId="16" fillId="0" borderId="0" xfId="2" applyAlignment="1">
      <alignment horizontal="center"/>
    </xf>
    <xf numFmtId="0" fontId="10" fillId="5" borderId="1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16" fillId="5" borderId="1" xfId="2" applyFill="1" applyBorder="1" applyAlignment="1">
      <alignment horizontal="center"/>
    </xf>
    <xf numFmtId="0" fontId="16" fillId="0" borderId="1" xfId="2" applyBorder="1" applyAlignment="1">
      <alignment horizontal="center"/>
    </xf>
    <xf numFmtId="2" fontId="16" fillId="0" borderId="1" xfId="2" applyNumberFormat="1" applyBorder="1" applyAlignment="1">
      <alignment horizontal="center"/>
    </xf>
    <xf numFmtId="0" fontId="23" fillId="10" borderId="5" xfId="2" applyFont="1" applyFill="1" applyBorder="1" applyAlignment="1">
      <alignment horizontal="center"/>
    </xf>
    <xf numFmtId="0" fontId="3" fillId="0" borderId="5" xfId="2" applyFont="1" applyBorder="1" applyAlignment="1">
      <alignment horizontal="center"/>
    </xf>
    <xf numFmtId="0" fontId="3" fillId="11" borderId="5" xfId="2" applyFont="1" applyFill="1" applyBorder="1" applyAlignment="1">
      <alignment horizontal="center"/>
    </xf>
    <xf numFmtId="0" fontId="24" fillId="10" borderId="0" xfId="2" applyFont="1" applyFill="1" applyAlignment="1">
      <alignment horizontal="center"/>
    </xf>
    <xf numFmtId="0" fontId="16" fillId="11" borderId="0" xfId="2" applyFill="1" applyAlignment="1">
      <alignment horizontal="center"/>
    </xf>
    <xf numFmtId="0" fontId="16" fillId="2" borderId="0" xfId="2" applyFill="1" applyAlignment="1">
      <alignment horizontal="center"/>
    </xf>
    <xf numFmtId="0" fontId="25" fillId="0" borderId="5" xfId="2" applyFont="1" applyBorder="1" applyAlignment="1">
      <alignment horizontal="center"/>
    </xf>
    <xf numFmtId="0" fontId="26" fillId="0" borderId="0" xfId="2" applyFont="1" applyAlignment="1">
      <alignment horizontal="center"/>
    </xf>
    <xf numFmtId="0" fontId="23" fillId="10" borderId="1" xfId="2" applyFont="1" applyFill="1" applyBorder="1" applyAlignment="1">
      <alignment horizontal="center"/>
    </xf>
    <xf numFmtId="0" fontId="25" fillId="0" borderId="1" xfId="2" applyFont="1" applyBorder="1" applyAlignment="1">
      <alignment horizontal="center"/>
    </xf>
    <xf numFmtId="0" fontId="4" fillId="0" borderId="1" xfId="2" applyFont="1" applyBorder="1" applyAlignment="1">
      <alignment horizontal="center"/>
    </xf>
    <xf numFmtId="0" fontId="24" fillId="10" borderId="1" xfId="2" applyFont="1" applyFill="1" applyBorder="1" applyAlignment="1">
      <alignment horizontal="center"/>
    </xf>
    <xf numFmtId="0" fontId="26" fillId="0" borderId="1" xfId="2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164" fontId="0" fillId="11" borderId="1" xfId="0" applyNumberFormat="1" applyFill="1" applyBorder="1" applyAlignment="1">
      <alignment horizontal="center" vertical="center"/>
    </xf>
    <xf numFmtId="164" fontId="2" fillId="11" borderId="1" xfId="0" applyNumberFormat="1" applyFont="1" applyFill="1" applyBorder="1" applyAlignment="1">
      <alignment horizontal="center" vertical="center"/>
    </xf>
    <xf numFmtId="166" fontId="0" fillId="11" borderId="1" xfId="0" applyNumberFormat="1" applyFill="1" applyBorder="1" applyAlignment="1">
      <alignment horizontal="center" vertical="center"/>
    </xf>
    <xf numFmtId="166" fontId="2" fillId="11" borderId="1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20" fontId="3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0" fillId="0" borderId="1" xfId="0" applyBorder="1"/>
    <xf numFmtId="20" fontId="0" fillId="0" borderId="1" xfId="0" applyNumberFormat="1" applyBorder="1" applyAlignment="1">
      <alignment horizontal="center" vertical="center"/>
    </xf>
    <xf numFmtId="2" fontId="27" fillId="0" borderId="1" xfId="0" applyNumberFormat="1" applyFont="1" applyBorder="1" applyAlignment="1">
      <alignment horizontal="center" vertical="center"/>
    </xf>
    <xf numFmtId="0" fontId="27" fillId="0" borderId="1" xfId="0" applyFont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/>
    </xf>
    <xf numFmtId="0" fontId="3" fillId="11" borderId="8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3" fillId="11" borderId="10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</cellXfs>
  <cellStyles count="3">
    <cellStyle name="Normal" xfId="0" builtinId="0"/>
    <cellStyle name="Normal 2" xfId="1" xr:uid="{79CEF5D8-F98C-4117-84A1-4A05605CA398}"/>
    <cellStyle name="Normal 3" xfId="2" xr:uid="{382E6A58-9AF9-4AFB-A9BD-4D321EF2F5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7993043997462403"/>
          <c:y val="9.56175298804780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'Dry matter'!$C$2</c:f>
              <c:strCache>
                <c:ptCount val="1"/>
                <c:pt idx="0">
                  <c:v>DM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'Dry matter'!$A$3:$A$15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'Dry matter'!$C$3:$C$15</c:f>
              <c:numCache>
                <c:formatCode>0.0</c:formatCode>
                <c:ptCount val="13"/>
                <c:pt idx="0">
                  <c:v>25.479248625475716</c:v>
                </c:pt>
                <c:pt idx="1">
                  <c:v>26.656475964899389</c:v>
                </c:pt>
                <c:pt idx="2">
                  <c:v>24.876220922669599</c:v>
                </c:pt>
                <c:pt idx="3">
                  <c:v>24.045908002074935</c:v>
                </c:pt>
                <c:pt idx="4">
                  <c:v>22.939153077564693</c:v>
                </c:pt>
                <c:pt idx="5">
                  <c:v>20.534708516324557</c:v>
                </c:pt>
                <c:pt idx="6">
                  <c:v>19.496614247882196</c:v>
                </c:pt>
                <c:pt idx="7">
                  <c:v>16.855272679079111</c:v>
                </c:pt>
                <c:pt idx="8">
                  <c:v>15.019812620948752</c:v>
                </c:pt>
                <c:pt idx="9">
                  <c:v>22.382101037261631</c:v>
                </c:pt>
                <c:pt idx="10">
                  <c:v>22.104861656433293</c:v>
                </c:pt>
                <c:pt idx="11">
                  <c:v>21.601502871826181</c:v>
                </c:pt>
                <c:pt idx="12">
                  <c:v>20.863567129234326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7F-4158-B7DF-533933908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3650880"/>
        <c:axId val="1993651296"/>
      </c:barChart>
      <c:catAx>
        <c:axId val="199365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651296"/>
        <c:crosses val="autoZero"/>
        <c:auto val="1"/>
        <c:lblAlgn val="ctr"/>
        <c:lblOffset val="100"/>
        <c:noMultiLvlLbl val="0"/>
      </c:catAx>
      <c:valAx>
        <c:axId val="1993651296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65088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CP, as is %</a:t>
            </a:r>
            <a:endParaRPr lang="en-US"/>
          </a:p>
        </c:rich>
      </c:tx>
      <c:layout>
        <c:manualLayout>
          <c:xMode val="edge"/>
          <c:yMode val="edge"/>
          <c:x val="0.38000746921686029"/>
          <c:y val="6.3994379436280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40719006179761"/>
          <c:y val="0.14074561403508773"/>
          <c:w val="0.86215732906872899"/>
          <c:h val="0.4963700096698439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'Crude Protein'!$D$2:$D$14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'Crude Protein'!$E$2:$E$14</c:f>
              <c:numCache>
                <c:formatCode>General</c:formatCode>
                <c:ptCount val="13"/>
                <c:pt idx="0">
                  <c:v>16.269568047847542</c:v>
                </c:pt>
                <c:pt idx="1">
                  <c:v>15.887896564348896</c:v>
                </c:pt>
                <c:pt idx="2">
                  <c:v>15.792783408624445</c:v>
                </c:pt>
                <c:pt idx="3">
                  <c:v>13.18835247913683</c:v>
                </c:pt>
                <c:pt idx="4">
                  <c:v>16.83558378043141</c:v>
                </c:pt>
                <c:pt idx="5">
                  <c:v>10.608219826734079</c:v>
                </c:pt>
                <c:pt idx="6">
                  <c:v>9.3445669954364838</c:v>
                </c:pt>
                <c:pt idx="7">
                  <c:v>7.0479384449113782</c:v>
                </c:pt>
                <c:pt idx="8">
                  <c:v>4.923596081078891</c:v>
                </c:pt>
                <c:pt idx="9">
                  <c:v>52.394449688254014</c:v>
                </c:pt>
                <c:pt idx="10">
                  <c:v>49.283367006030048</c:v>
                </c:pt>
                <c:pt idx="11">
                  <c:v>42.511105554483677</c:v>
                </c:pt>
                <c:pt idx="12">
                  <c:v>36.712840243832872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D-4A55-B342-4AC968DD9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5029711"/>
        <c:axId val="505030191"/>
      </c:barChart>
      <c:catAx>
        <c:axId val="50502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030191"/>
        <c:crosses val="autoZero"/>
        <c:auto val="1"/>
        <c:lblAlgn val="ctr"/>
        <c:lblOffset val="100"/>
        <c:noMultiLvlLbl val="0"/>
      </c:catAx>
      <c:valAx>
        <c:axId val="505030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029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'Crude Protein'!$G$19</c:f>
              <c:strCache>
                <c:ptCount val="1"/>
                <c:pt idx="0">
                  <c:v>CP, % of DM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'Crude Protein'!$D$20:$D$32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'Crude Protein'!$G$20:$G$32</c:f>
              <c:numCache>
                <c:formatCode>0.000</c:formatCode>
                <c:ptCount val="13"/>
                <c:pt idx="0">
                  <c:v>63.854190863306037</c:v>
                </c:pt>
                <c:pt idx="1">
                  <c:v>59.602389247812418</c:v>
                </c:pt>
                <c:pt idx="2">
                  <c:v>63.485460503498523</c:v>
                </c:pt>
                <c:pt idx="3">
                  <c:v>54.846556337148094</c:v>
                </c:pt>
                <c:pt idx="4">
                  <c:v>73.392351162681805</c:v>
                </c:pt>
                <c:pt idx="5">
                  <c:v>51.65994841514707</c:v>
                </c:pt>
                <c:pt idx="6">
                  <c:v>47.929178249251812</c:v>
                </c:pt>
                <c:pt idx="7">
                  <c:v>41.814443344244033</c:v>
                </c:pt>
                <c:pt idx="8">
                  <c:v>32.780675800254315</c:v>
                </c:pt>
                <c:pt idx="9" formatCode="General">
                  <c:v>52.394449688254014</c:v>
                </c:pt>
                <c:pt idx="10" formatCode="General">
                  <c:v>49.283367006030048</c:v>
                </c:pt>
                <c:pt idx="11" formatCode="General">
                  <c:v>42.511105554483677</c:v>
                </c:pt>
                <c:pt idx="12" formatCode="General">
                  <c:v>36.712840243832872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C-4F83-BF2D-7A3F7A954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5618512"/>
        <c:axId val="1165622672"/>
      </c:barChart>
      <c:catAx>
        <c:axId val="116561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622672"/>
        <c:crosses val="autoZero"/>
        <c:auto val="1"/>
        <c:lblAlgn val="ctr"/>
        <c:lblOffset val="100"/>
        <c:noMultiLvlLbl val="0"/>
      </c:catAx>
      <c:valAx>
        <c:axId val="1165622672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61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5813896808347832"/>
          <c:y val="6.67334070798785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'IGF-1'!$B$17</c:f>
              <c:strCache>
                <c:ptCount val="1"/>
                <c:pt idx="0">
                  <c:v>IGF-I (ng/mL)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'IGF-1'!$A$18:$A$30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- Summit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'IGF-1'!$B$18:$B$30</c:f>
              <c:numCache>
                <c:formatCode>General</c:formatCode>
                <c:ptCount val="13"/>
                <c:pt idx="0">
                  <c:v>440.78198143492421</c:v>
                </c:pt>
                <c:pt idx="1">
                  <c:v>705.37112802350475</c:v>
                </c:pt>
                <c:pt idx="2">
                  <c:v>738.94955054114212</c:v>
                </c:pt>
                <c:pt idx="3">
                  <c:v>611.86072729266357</c:v>
                </c:pt>
                <c:pt idx="4">
                  <c:v>758.7124428378545</c:v>
                </c:pt>
                <c:pt idx="5">
                  <c:v>398.51833282032965</c:v>
                </c:pt>
                <c:pt idx="6">
                  <c:v>357.40856249093662</c:v>
                </c:pt>
                <c:pt idx="7">
                  <c:v>188.83405584554998</c:v>
                </c:pt>
                <c:pt idx="8">
                  <c:v>105.16859231862047</c:v>
                </c:pt>
                <c:pt idx="9">
                  <c:v>406.10506962455287</c:v>
                </c:pt>
                <c:pt idx="10">
                  <c:v>339.05644999986731</c:v>
                </c:pt>
                <c:pt idx="11">
                  <c:v>224.3596293890125</c:v>
                </c:pt>
                <c:pt idx="12">
                  <c:v>160.43272159680029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2E4-AB0F-417C2FF70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4717600"/>
        <c:axId val="1504718016"/>
      </c:barChart>
      <c:catAx>
        <c:axId val="150471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718016"/>
        <c:crosses val="autoZero"/>
        <c:auto val="1"/>
        <c:lblAlgn val="ctr"/>
        <c:lblOffset val="100"/>
        <c:noMultiLvlLbl val="0"/>
      </c:catAx>
      <c:valAx>
        <c:axId val="15047180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u="none" strike="noStrike" baseline="0">
                    <a:effectLst/>
                  </a:rPr>
                  <a:t>ng/mL</a:t>
                </a:r>
                <a:endParaRPr lang="en-US" sz="1100"/>
              </a:p>
            </c:rich>
          </c:tx>
          <c:layout>
            <c:manualLayout>
              <c:xMode val="edge"/>
              <c:yMode val="edge"/>
              <c:x val="4.4513562305307461E-4"/>
              <c:y val="0.450930768136195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71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'IGF-1'!$D$37</c:f>
              <c:strCache>
                <c:ptCount val="1"/>
                <c:pt idx="0">
                  <c:v>Concentration corrected for DM, ng/mL of DM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'IGF-1'!$A$38:$A$50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- Summit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'IGF-1'!$D$38:$D$50</c:f>
              <c:numCache>
                <c:formatCode>0.00</c:formatCode>
                <c:ptCount val="13"/>
                <c:pt idx="0">
                  <c:v>1729.9645994827467</c:v>
                </c:pt>
                <c:pt idx="1">
                  <c:v>2646.1529609252198</c:v>
                </c:pt>
                <c:pt idx="2">
                  <c:v>2970.5056601573287</c:v>
                </c:pt>
                <c:pt idx="3">
                  <c:v>2544.5523921985637</c:v>
                </c:pt>
                <c:pt idx="4">
                  <c:v>3307.4998029456551</c:v>
                </c:pt>
                <c:pt idx="5">
                  <c:v>1940.7060611720783</c:v>
                </c:pt>
                <c:pt idx="6">
                  <c:v>1833.182715454094</c:v>
                </c:pt>
                <c:pt idx="7">
                  <c:v>1120.3263183035431</c:v>
                </c:pt>
                <c:pt idx="8">
                  <c:v>700.19909683784931</c:v>
                </c:pt>
                <c:pt idx="9">
                  <c:v>1838.5919495891703</c:v>
                </c:pt>
                <c:pt idx="10">
                  <c:v>1526.5359161838846</c:v>
                </c:pt>
                <c:pt idx="11">
                  <c:v>1026.1083348366826</c:v>
                </c:pt>
                <c:pt idx="12">
                  <c:v>761.03602597955933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05-4636-B7AE-183A0151D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5682768"/>
        <c:axId val="2025683600"/>
      </c:barChart>
      <c:catAx>
        <c:axId val="202568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683600"/>
        <c:crosses val="autoZero"/>
        <c:auto val="1"/>
        <c:lblAlgn val="ctr"/>
        <c:lblOffset val="100"/>
        <c:noMultiLvlLbl val="0"/>
      </c:catAx>
      <c:valAx>
        <c:axId val="202568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68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5105171875541988"/>
          <c:y val="5.01688298112849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IgG'!$I$1</c:f>
              <c:strCache>
                <c:ptCount val="1"/>
                <c:pt idx="0">
                  <c:v>Brix,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IgG'!$H$2:$H$14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'Total IgG'!$I$2:$I$14</c:f>
              <c:numCache>
                <c:formatCode>0.0</c:formatCode>
                <c:ptCount val="13"/>
                <c:pt idx="0">
                  <c:v>25.65</c:v>
                </c:pt>
                <c:pt idx="1">
                  <c:v>26.95</c:v>
                </c:pt>
                <c:pt idx="2">
                  <c:v>25.05</c:v>
                </c:pt>
                <c:pt idx="3">
                  <c:v>21.5</c:v>
                </c:pt>
                <c:pt idx="4">
                  <c:v>26.1</c:v>
                </c:pt>
                <c:pt idx="5">
                  <c:v>21.25</c:v>
                </c:pt>
                <c:pt idx="6">
                  <c:v>20.799999999999997</c:v>
                </c:pt>
                <c:pt idx="7">
                  <c:v>20.549999999999997</c:v>
                </c:pt>
                <c:pt idx="8">
                  <c:v>19.75</c:v>
                </c:pt>
                <c:pt idx="9">
                  <c:v>18.666666666666668</c:v>
                </c:pt>
                <c:pt idx="10">
                  <c:v>17.233333333333334</c:v>
                </c:pt>
                <c:pt idx="11">
                  <c:v>14.733333333333334</c:v>
                </c:pt>
                <c:pt idx="12">
                  <c:v>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1-4C92-AEE9-8864DF670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8413535"/>
        <c:axId val="448403935"/>
      </c:barChart>
      <c:catAx>
        <c:axId val="44841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403935"/>
        <c:crosses val="autoZero"/>
        <c:auto val="1"/>
        <c:lblAlgn val="ctr"/>
        <c:lblOffset val="100"/>
        <c:noMultiLvlLbl val="0"/>
      </c:catAx>
      <c:valAx>
        <c:axId val="448403935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41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513168016456772"/>
          <c:y val="7.75444133422524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IgG'!$J$1</c:f>
              <c:strCache>
                <c:ptCount val="1"/>
                <c:pt idx="0">
                  <c:v>IgG, g/L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IgG'!$H$2:$H$14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'Total IgG'!$J$2:$J$14</c:f>
              <c:numCache>
                <c:formatCode>0.0</c:formatCode>
                <c:ptCount val="13"/>
                <c:pt idx="0">
                  <c:v>132.78209109075914</c:v>
                </c:pt>
                <c:pt idx="1">
                  <c:v>97.196920071367231</c:v>
                </c:pt>
                <c:pt idx="2">
                  <c:v>113.53150332590076</c:v>
                </c:pt>
                <c:pt idx="3">
                  <c:v>71.035456768960159</c:v>
                </c:pt>
                <c:pt idx="4">
                  <c:v>96.376923745485158</c:v>
                </c:pt>
                <c:pt idx="5">
                  <c:v>60.33531640230634</c:v>
                </c:pt>
                <c:pt idx="6">
                  <c:v>52.603711659008987</c:v>
                </c:pt>
                <c:pt idx="7">
                  <c:v>39.663854237694963</c:v>
                </c:pt>
                <c:pt idx="8">
                  <c:v>23.849229771207025</c:v>
                </c:pt>
                <c:pt idx="9">
                  <c:v>63.422229608784313</c:v>
                </c:pt>
                <c:pt idx="10">
                  <c:v>45.355072166453851</c:v>
                </c:pt>
                <c:pt idx="11">
                  <c:v>27.108260185051218</c:v>
                </c:pt>
                <c:pt idx="12">
                  <c:v>13.033333333333331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2F-4423-9648-CD49015A1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8409695"/>
        <c:axId val="448414975"/>
      </c:barChart>
      <c:catAx>
        <c:axId val="44840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414975"/>
        <c:crosses val="autoZero"/>
        <c:auto val="1"/>
        <c:lblAlgn val="ctr"/>
        <c:lblOffset val="100"/>
        <c:noMultiLvlLbl val="0"/>
      </c:catAx>
      <c:valAx>
        <c:axId val="448414975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409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IgG'!$D$40</c:f>
              <c:strCache>
                <c:ptCount val="1"/>
                <c:pt idx="0">
                  <c:v>IgG g/L DM,%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IgG'!$A$41:$A$53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'Total IgG'!$D$41:$D$53</c:f>
              <c:numCache>
                <c:formatCode>0.00</c:formatCode>
                <c:ptCount val="13"/>
                <c:pt idx="0">
                  <c:v>521.1381742159989</c:v>
                </c:pt>
                <c:pt idx="1">
                  <c:v>364.62779325877062</c:v>
                </c:pt>
                <c:pt idx="2">
                  <c:v>456.38565310553241</c:v>
                </c:pt>
                <c:pt idx="3">
                  <c:v>295.41598829551572</c:v>
                </c:pt>
                <c:pt idx="4">
                  <c:v>420.14159554890108</c:v>
                </c:pt>
                <c:pt idx="5">
                  <c:v>293.82114849276451</c:v>
                </c:pt>
                <c:pt idx="6">
                  <c:v>269.80947045573834</c:v>
                </c:pt>
                <c:pt idx="7">
                  <c:v>235.32015763189659</c:v>
                </c:pt>
                <c:pt idx="8">
                  <c:v>158.7851351616965</c:v>
                </c:pt>
                <c:pt idx="9">
                  <c:v>287.13653068037627</c:v>
                </c:pt>
                <c:pt idx="10">
                  <c:v>204.20241715864992</c:v>
                </c:pt>
                <c:pt idx="11">
                  <c:v>123.97957598054704</c:v>
                </c:pt>
                <c:pt idx="12">
                  <c:v>61.825518550978352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7-4039-8568-4F1FA05DC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8842448"/>
        <c:axId val="1388837040"/>
      </c:barChart>
      <c:catAx>
        <c:axId val="138884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837040"/>
        <c:crosses val="autoZero"/>
        <c:auto val="1"/>
        <c:lblAlgn val="ctr"/>
        <c:lblOffset val="100"/>
        <c:noMultiLvlLbl val="0"/>
      </c:catAx>
      <c:valAx>
        <c:axId val="138883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84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IgG'!$B$63</c:f>
              <c:strCache>
                <c:ptCount val="1"/>
                <c:pt idx="0">
                  <c:v>Total IgG, g/L DM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IgG'!$A$64:$A$76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'Total IgG'!$B$64:$B$76</c:f>
              <c:numCache>
                <c:formatCode>0.0</c:formatCode>
                <c:ptCount val="13"/>
                <c:pt idx="0">
                  <c:v>521.1381742159989</c:v>
                </c:pt>
                <c:pt idx="1">
                  <c:v>364.62779325877062</c:v>
                </c:pt>
                <c:pt idx="2">
                  <c:v>456.38565310553241</c:v>
                </c:pt>
                <c:pt idx="3">
                  <c:v>295.41598829551572</c:v>
                </c:pt>
                <c:pt idx="4">
                  <c:v>420.14159554890108</c:v>
                </c:pt>
                <c:pt idx="5">
                  <c:v>293.82114849276451</c:v>
                </c:pt>
                <c:pt idx="6">
                  <c:v>269.80947045573834</c:v>
                </c:pt>
                <c:pt idx="7">
                  <c:v>235.32015763189659</c:v>
                </c:pt>
                <c:pt idx="8">
                  <c:v>158.7851351616965</c:v>
                </c:pt>
                <c:pt idx="9">
                  <c:v>287.13653068037627</c:v>
                </c:pt>
                <c:pt idx="10">
                  <c:v>204.20241715864992</c:v>
                </c:pt>
                <c:pt idx="11">
                  <c:v>123.97957598054704</c:v>
                </c:pt>
                <c:pt idx="12">
                  <c:v>61.825518550978352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8C-4EB0-8B8A-4D3D858FE1C6}"/>
            </c:ext>
          </c:extLst>
        </c:ser>
        <c:ser>
          <c:idx val="1"/>
          <c:order val="1"/>
          <c:tx>
            <c:strRef>
              <c:f>'Total IgG'!$C$63</c:f>
              <c:strCache>
                <c:ptCount val="1"/>
                <c:pt idx="0">
                  <c:v>IgG1 g/L DM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IgG'!$A$64:$A$76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'Total IgG'!$C$64:$C$76</c:f>
              <c:numCache>
                <c:formatCode>0.00</c:formatCode>
                <c:ptCount val="13"/>
                <c:pt idx="0">
                  <c:v>284.71896152580689</c:v>
                </c:pt>
                <c:pt idx="1">
                  <c:v>191.84767669800962</c:v>
                </c:pt>
                <c:pt idx="2">
                  <c:v>273.44077380901479</c:v>
                </c:pt>
                <c:pt idx="3">
                  <c:v>135.12954291459937</c:v>
                </c:pt>
                <c:pt idx="4">
                  <c:v>170.05071753651882</c:v>
                </c:pt>
                <c:pt idx="5">
                  <c:v>146.68866997108802</c:v>
                </c:pt>
                <c:pt idx="6">
                  <c:v>115.77540598617422</c:v>
                </c:pt>
                <c:pt idx="7">
                  <c:v>86.907746854958177</c:v>
                </c:pt>
                <c:pt idx="8">
                  <c:v>62.176516484017874</c:v>
                </c:pt>
                <c:pt idx="9">
                  <c:v>164.35009405546373</c:v>
                </c:pt>
                <c:pt idx="10">
                  <c:v>112.55765199161398</c:v>
                </c:pt>
                <c:pt idx="11">
                  <c:v>74.843877292851758</c:v>
                </c:pt>
                <c:pt idx="12">
                  <c:v>63.804402581730493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8C-4EB0-8B8A-4D3D858FE1C6}"/>
            </c:ext>
          </c:extLst>
        </c:ser>
        <c:ser>
          <c:idx val="2"/>
          <c:order val="2"/>
          <c:tx>
            <c:strRef>
              <c:f>'Total IgG'!$D$63</c:f>
              <c:strCache>
                <c:ptCount val="1"/>
                <c:pt idx="0">
                  <c:v>IgG2 g/L DM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IgG'!$A$64:$A$76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'Total IgG'!$D$64:$D$76</c:f>
              <c:numCache>
                <c:formatCode>0.00</c:formatCode>
                <c:ptCount val="13"/>
                <c:pt idx="0">
                  <c:v>6.1371732262748058</c:v>
                </c:pt>
                <c:pt idx="1">
                  <c:v>14.841121900689634</c:v>
                </c:pt>
                <c:pt idx="2">
                  <c:v>19.448404900622222</c:v>
                </c:pt>
                <c:pt idx="3">
                  <c:v>8.6200896543330945</c:v>
                </c:pt>
                <c:pt idx="4">
                  <c:v>18.397972099408008</c:v>
                </c:pt>
                <c:pt idx="5">
                  <c:v>13.523375514063058</c:v>
                </c:pt>
                <c:pt idx="6">
                  <c:v>4.6005744106785595</c:v>
                </c:pt>
                <c:pt idx="7">
                  <c:v>7.4083114717350398</c:v>
                </c:pt>
                <c:pt idx="8">
                  <c:v>4.7702912037806771</c:v>
                </c:pt>
                <c:pt idx="9">
                  <c:v>10.312164344190442</c:v>
                </c:pt>
                <c:pt idx="10">
                  <c:v>8.7209152950621984</c:v>
                </c:pt>
                <c:pt idx="11">
                  <c:v>5.9797876000538555</c:v>
                </c:pt>
                <c:pt idx="12">
                  <c:v>2.429395158141229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8C-4EB0-8B8A-4D3D858FE1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53410448"/>
        <c:axId val="1353409200"/>
      </c:barChart>
      <c:catAx>
        <c:axId val="135341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409200"/>
        <c:crosses val="autoZero"/>
        <c:auto val="1"/>
        <c:lblAlgn val="ctr"/>
        <c:lblOffset val="100"/>
        <c:noMultiLvlLbl val="0"/>
      </c:catAx>
      <c:valAx>
        <c:axId val="13534092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g/L DM</a:t>
                </a:r>
              </a:p>
            </c:rich>
          </c:tx>
          <c:layout>
            <c:manualLayout>
              <c:xMode val="edge"/>
              <c:yMode val="edge"/>
              <c:x val="1.2590494176896443E-3"/>
              <c:y val="0.399306330408758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41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6960971946495342"/>
          <c:y val="0.21975955967161886"/>
          <c:w val="0.3252424041895613"/>
          <c:h val="4.6024583799214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4PL Standard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Observed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'IgG1'!$B$2:$B$8</c:f>
              <c:numCache>
                <c:formatCode>General</c:formatCode>
                <c:ptCount val="7"/>
                <c:pt idx="0">
                  <c:v>750</c:v>
                </c:pt>
                <c:pt idx="1">
                  <c:v>250</c:v>
                </c:pt>
                <c:pt idx="2">
                  <c:v>83.3</c:v>
                </c:pt>
                <c:pt idx="3">
                  <c:v>27.7</c:v>
                </c:pt>
                <c:pt idx="4">
                  <c:v>9.26</c:v>
                </c:pt>
                <c:pt idx="5">
                  <c:v>3</c:v>
                </c:pt>
                <c:pt idx="6">
                  <c:v>1</c:v>
                </c:pt>
              </c:numCache>
            </c:numRef>
          </c:xVal>
          <c:yVal>
            <c:numRef>
              <c:f>'IgG1'!$C$2:$C$8</c:f>
              <c:numCache>
                <c:formatCode>General</c:formatCode>
                <c:ptCount val="7"/>
                <c:pt idx="0">
                  <c:v>3.3664999999999998</c:v>
                </c:pt>
                <c:pt idx="1">
                  <c:v>3.1404999999999998</c:v>
                </c:pt>
                <c:pt idx="2">
                  <c:v>2.4790000000000001</c:v>
                </c:pt>
                <c:pt idx="3">
                  <c:v>1.48</c:v>
                </c:pt>
                <c:pt idx="4">
                  <c:v>1.298</c:v>
                </c:pt>
                <c:pt idx="5">
                  <c:v>1.2350000000000001</c:v>
                </c:pt>
                <c:pt idx="6">
                  <c:v>0.84799999999999998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FD-495A-B47A-68FA34D92626}"/>
            </c:ext>
          </c:extLst>
        </c:ser>
        <c:ser>
          <c:idx val="1"/>
          <c:order val="1"/>
          <c:tx>
            <c:v>Predicted (4PL)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'IgG1'!$B$2:$B$8</c:f>
              <c:numCache>
                <c:formatCode>General</c:formatCode>
                <c:ptCount val="7"/>
                <c:pt idx="0">
                  <c:v>750</c:v>
                </c:pt>
                <c:pt idx="1">
                  <c:v>250</c:v>
                </c:pt>
                <c:pt idx="2">
                  <c:v>83.3</c:v>
                </c:pt>
                <c:pt idx="3">
                  <c:v>27.7</c:v>
                </c:pt>
                <c:pt idx="4">
                  <c:v>9.26</c:v>
                </c:pt>
                <c:pt idx="5">
                  <c:v>3</c:v>
                </c:pt>
                <c:pt idx="6">
                  <c:v>1</c:v>
                </c:pt>
              </c:numCache>
            </c:numRef>
          </c:xVal>
          <c:yVal>
            <c:numRef>
              <c:f>'IgG1'!$D$2:$D$8</c:f>
              <c:numCache>
                <c:formatCode>General</c:formatCode>
                <c:ptCount val="7"/>
                <c:pt idx="0">
                  <c:v>3.203125</c:v>
                </c:pt>
                <c:pt idx="1">
                  <c:v>2.875</c:v>
                </c:pt>
                <c:pt idx="2">
                  <c:v>2.2184546136534133</c:v>
                </c:pt>
                <c:pt idx="3">
                  <c:v>1.3729729729729727</c:v>
                </c:pt>
                <c:pt idx="4">
                  <c:v>0.74222072224097202</c:v>
                </c:pt>
                <c:pt idx="5">
                  <c:v>0.42830188679245307</c:v>
                </c:pt>
                <c:pt idx="6">
                  <c:v>0.31176470588235317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FD-495A-B47A-68FA34D92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Concentration (ng/ml)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Absorbance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6065390327571454"/>
          <c:y val="0.110746799679095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'IgG1'!$B$33</c:f>
              <c:strCache>
                <c:ptCount val="1"/>
                <c:pt idx="0">
                  <c:v>IgG1, g/L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'IgG1'!$G$17</c:f>
                <c:numCache>
                  <c:formatCode>General</c:formatCode>
                  <c:ptCount val="1"/>
                  <c:pt idx="0">
                    <c:v>0.12093903422799446</c:v>
                  </c:pt>
                </c:numCache>
              </c:numRef>
            </c:plus>
            <c:minus>
              <c:numRef>
                <c:f>'IgG1'!$G$17</c:f>
                <c:numCache>
                  <c:formatCode>General</c:formatCode>
                  <c:ptCount val="1"/>
                  <c:pt idx="0">
                    <c:v>0.12093903422799446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'IgG1'!$A$34:$A$46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'IgG1'!$B$34:$B$46</c:f>
              <c:numCache>
                <c:formatCode>0.00</c:formatCode>
                <c:ptCount val="13"/>
                <c:pt idx="0">
                  <c:v>72.544252091032874</c:v>
                </c:pt>
                <c:pt idx="1">
                  <c:v>51.139829828222823</c:v>
                </c:pt>
                <c:pt idx="2">
                  <c:v>68.021730985387791</c:v>
                </c:pt>
                <c:pt idx="3">
                  <c:v>32.493125572868934</c:v>
                </c:pt>
                <c:pt idx="4">
                  <c:v>39.008194405199205</c:v>
                </c:pt>
                <c:pt idx="5">
                  <c:v>30.122090805036237</c:v>
                </c:pt>
                <c:pt idx="6">
                  <c:v>22.572284299043901</c:v>
                </c:pt>
                <c:pt idx="7">
                  <c:v>14.648537711647002</c:v>
                </c:pt>
                <c:pt idx="8">
                  <c:v>9.3387962701327982</c:v>
                </c:pt>
                <c:pt idx="9">
                  <c:v>36.301369863013697</c:v>
                </c:pt>
                <c:pt idx="10">
                  <c:v>25.000000000000011</c:v>
                </c:pt>
                <c:pt idx="11">
                  <c:v>16.364689771410525</c:v>
                </c:pt>
                <c:pt idx="12">
                  <c:v>13.450498539631383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8-442A-96D7-BBF36962BA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2669312"/>
        <c:axId val="212686368"/>
      </c:barChart>
      <c:catAx>
        <c:axId val="21266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86368"/>
        <c:crosses val="autoZero"/>
        <c:auto val="1"/>
        <c:lblAlgn val="ctr"/>
        <c:lblOffset val="100"/>
        <c:noMultiLvlLbl val="0"/>
      </c:catAx>
      <c:valAx>
        <c:axId val="2126863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IgG1, g/L</a:t>
                </a:r>
              </a:p>
            </c:rich>
          </c:tx>
          <c:layout>
            <c:manualLayout>
              <c:xMode val="edge"/>
              <c:yMode val="edge"/>
              <c:x val="0"/>
              <c:y val="0.436519778377892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6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'IgG1'!$D$65</c:f>
              <c:strCache>
                <c:ptCount val="1"/>
                <c:pt idx="0">
                  <c:v>IgG1 g/L DM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'IgG1'!$A$66:$A$78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'IgG1'!$D$66:$D$78</c:f>
              <c:numCache>
                <c:formatCode>0.00</c:formatCode>
                <c:ptCount val="13"/>
                <c:pt idx="0">
                  <c:v>284.71896152580689</c:v>
                </c:pt>
                <c:pt idx="1">
                  <c:v>191.84767669800962</c:v>
                </c:pt>
                <c:pt idx="2">
                  <c:v>273.44077380901479</c:v>
                </c:pt>
                <c:pt idx="3">
                  <c:v>135.12954291459937</c:v>
                </c:pt>
                <c:pt idx="4">
                  <c:v>170.05071753651882</c:v>
                </c:pt>
                <c:pt idx="5">
                  <c:v>146.68866997108802</c:v>
                </c:pt>
                <c:pt idx="6">
                  <c:v>115.77540598617422</c:v>
                </c:pt>
                <c:pt idx="7">
                  <c:v>86.907746854958177</c:v>
                </c:pt>
                <c:pt idx="8">
                  <c:v>62.176516484017874</c:v>
                </c:pt>
                <c:pt idx="9">
                  <c:v>164.35009405546373</c:v>
                </c:pt>
                <c:pt idx="10">
                  <c:v>112.55765199161398</c:v>
                </c:pt>
                <c:pt idx="11">
                  <c:v>74.843877292851758</c:v>
                </c:pt>
                <c:pt idx="12">
                  <c:v>63.804402581730493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2B-436E-A265-17C0E53E0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983648"/>
        <c:axId val="794984064"/>
      </c:barChart>
      <c:catAx>
        <c:axId val="79498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984064"/>
        <c:crosses val="autoZero"/>
        <c:auto val="1"/>
        <c:lblAlgn val="ctr"/>
        <c:lblOffset val="100"/>
        <c:noMultiLvlLbl val="0"/>
      </c:catAx>
      <c:valAx>
        <c:axId val="7949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98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4PL Standard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Observed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'IgG2'!$B$2:$B$8</c:f>
              <c:numCache>
                <c:formatCode>General</c:formatCode>
                <c:ptCount val="7"/>
                <c:pt idx="0">
                  <c:v>750</c:v>
                </c:pt>
                <c:pt idx="1">
                  <c:v>250</c:v>
                </c:pt>
                <c:pt idx="2">
                  <c:v>83.3</c:v>
                </c:pt>
                <c:pt idx="3">
                  <c:v>27.7</c:v>
                </c:pt>
                <c:pt idx="4">
                  <c:v>9.26</c:v>
                </c:pt>
                <c:pt idx="5">
                  <c:v>3</c:v>
                </c:pt>
                <c:pt idx="6">
                  <c:v>1</c:v>
                </c:pt>
              </c:numCache>
            </c:numRef>
          </c:xVal>
          <c:yVal>
            <c:numRef>
              <c:f>'IgG2'!$C$2:$C$8</c:f>
              <c:numCache>
                <c:formatCode>General</c:formatCode>
                <c:ptCount val="7"/>
                <c:pt idx="0">
                  <c:v>3.4420000000000002</c:v>
                </c:pt>
                <c:pt idx="1">
                  <c:v>3.1545000000000001</c:v>
                </c:pt>
                <c:pt idx="2">
                  <c:v>2.3039999999999998</c:v>
                </c:pt>
                <c:pt idx="3">
                  <c:v>1.208</c:v>
                </c:pt>
                <c:pt idx="4">
                  <c:v>0.8165</c:v>
                </c:pt>
                <c:pt idx="5">
                  <c:v>0.48099999999999998</c:v>
                </c:pt>
                <c:pt idx="6">
                  <c:v>0.34699999999999998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42-4DAF-8333-CA32B7B7B346}"/>
            </c:ext>
          </c:extLst>
        </c:ser>
        <c:ser>
          <c:idx val="1"/>
          <c:order val="1"/>
          <c:tx>
            <c:v>Predicted (4PL)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'IgG2'!$B$2:$B$8</c:f>
              <c:numCache>
                <c:formatCode>General</c:formatCode>
                <c:ptCount val="7"/>
                <c:pt idx="0">
                  <c:v>750</c:v>
                </c:pt>
                <c:pt idx="1">
                  <c:v>250</c:v>
                </c:pt>
                <c:pt idx="2">
                  <c:v>83.3</c:v>
                </c:pt>
                <c:pt idx="3">
                  <c:v>27.7</c:v>
                </c:pt>
                <c:pt idx="4">
                  <c:v>9.26</c:v>
                </c:pt>
                <c:pt idx="5">
                  <c:v>3</c:v>
                </c:pt>
                <c:pt idx="6">
                  <c:v>1</c:v>
                </c:pt>
              </c:numCache>
            </c:numRef>
          </c:xVal>
          <c:yVal>
            <c:numRef>
              <c:f>'IgG2'!$D$2:$D$8</c:f>
              <c:numCache>
                <c:formatCode>General</c:formatCode>
                <c:ptCount val="7"/>
                <c:pt idx="0">
                  <c:v>3.203125</c:v>
                </c:pt>
                <c:pt idx="1">
                  <c:v>2.875</c:v>
                </c:pt>
                <c:pt idx="2">
                  <c:v>2.2184546136534133</c:v>
                </c:pt>
                <c:pt idx="3">
                  <c:v>1.3729729729729727</c:v>
                </c:pt>
                <c:pt idx="4">
                  <c:v>0.74222072224097202</c:v>
                </c:pt>
                <c:pt idx="5">
                  <c:v>0.42830188679245307</c:v>
                </c:pt>
                <c:pt idx="6">
                  <c:v>0.31176470588235317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42-4DAF-8333-CA32B7B7B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Concentration (ng/ml)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Absorbance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8346759698618469"/>
          <c:y val="8.3417414640699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'IgG2'!$E$33</c:f>
              <c:strCache>
                <c:ptCount val="1"/>
                <c:pt idx="0">
                  <c:v>IgG2, g/L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'IgG2'!$G$17</c:f>
                <c:numCache>
                  <c:formatCode>General</c:formatCode>
                  <c:ptCount val="1"/>
                  <c:pt idx="0">
                    <c:v>4.9909084009493343E-2</c:v>
                  </c:pt>
                </c:numCache>
              </c:numRef>
            </c:plus>
            <c:minus>
              <c:numRef>
                <c:f>'IgG2'!$G$17</c:f>
                <c:numCache>
                  <c:formatCode>General</c:formatCode>
                  <c:ptCount val="1"/>
                  <c:pt idx="0">
                    <c:v>4.9909084009493343E-2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'IgG2'!$D$34:$D$46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'IgG2'!$E$34:$E$46</c:f>
              <c:numCache>
                <c:formatCode>0.00</c:formatCode>
                <c:ptCount val="13"/>
                <c:pt idx="0">
                  <c:v>1.5637056248986869</c:v>
                </c:pt>
                <c:pt idx="1">
                  <c:v>3.9561200923787516</c:v>
                </c:pt>
                <c:pt idx="2">
                  <c:v>4.8380281690140849</c:v>
                </c:pt>
                <c:pt idx="3">
                  <c:v>2.0727788279773152</c:v>
                </c:pt>
                <c:pt idx="4">
                  <c:v>4.220338983050846</c:v>
                </c:pt>
                <c:pt idx="5">
                  <c:v>2.7769857433808567</c:v>
                </c:pt>
                <c:pt idx="6">
                  <c:v>0.89695624603677848</c:v>
                </c:pt>
                <c:pt idx="7">
                  <c:v>1.2486910994764397</c:v>
                </c:pt>
                <c:pt idx="8">
                  <c:v>0.71648880028145834</c:v>
                </c:pt>
                <c:pt idx="9">
                  <c:v>2.2777333599840093</c:v>
                </c:pt>
                <c:pt idx="10">
                  <c:v>1.9369885433715222</c:v>
                </c:pt>
                <c:pt idx="11">
                  <c:v>1.3074866310160425</c:v>
                </c:pt>
                <c:pt idx="12">
                  <c:v>0.51213669754072166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95-41FB-89F8-903DFAB2F8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68423439"/>
        <c:axId val="968417615"/>
      </c:barChart>
      <c:catAx>
        <c:axId val="96842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417615"/>
        <c:crosses val="autoZero"/>
        <c:auto val="1"/>
        <c:lblAlgn val="ctr"/>
        <c:lblOffset val="100"/>
        <c:noMultiLvlLbl val="0"/>
      </c:catAx>
      <c:valAx>
        <c:axId val="9684176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baseline="0">
                    <a:effectLst/>
                  </a:rPr>
                  <a:t>IgG2, g/L</a:t>
                </a:r>
                <a:endParaRPr lang="en-US" sz="1400">
                  <a:effectLst/>
                </a:endParaRPr>
              </a:p>
            </c:rich>
          </c:tx>
          <c:layout>
            <c:manualLayout>
              <c:xMode val="edge"/>
              <c:yMode val="edge"/>
              <c:x val="2.4420022072238847E-3"/>
              <c:y val="0.407469386423280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42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'IgG2'!$G$80</c:f>
              <c:strCache>
                <c:ptCount val="1"/>
                <c:pt idx="0">
                  <c:v>IgG2 g/L DM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'IgG2'!$D$81:$D$93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'IgG2'!$G$81:$G$93</c:f>
              <c:numCache>
                <c:formatCode>0.00</c:formatCode>
                <c:ptCount val="13"/>
                <c:pt idx="0">
                  <c:v>6.1371732262748058</c:v>
                </c:pt>
                <c:pt idx="1">
                  <c:v>14.841121900689634</c:v>
                </c:pt>
                <c:pt idx="2">
                  <c:v>19.448404900622222</c:v>
                </c:pt>
                <c:pt idx="3">
                  <c:v>8.6200896543330945</c:v>
                </c:pt>
                <c:pt idx="4">
                  <c:v>18.397972099408008</c:v>
                </c:pt>
                <c:pt idx="5">
                  <c:v>13.523375514063058</c:v>
                </c:pt>
                <c:pt idx="6">
                  <c:v>4.6005744106785595</c:v>
                </c:pt>
                <c:pt idx="7">
                  <c:v>7.4083114717350398</c:v>
                </c:pt>
                <c:pt idx="8">
                  <c:v>4.7702912037806771</c:v>
                </c:pt>
                <c:pt idx="9">
                  <c:v>10.312164344190442</c:v>
                </c:pt>
                <c:pt idx="10">
                  <c:v>8.7209152950621984</c:v>
                </c:pt>
                <c:pt idx="11">
                  <c:v>5.9797876000538555</c:v>
                </c:pt>
                <c:pt idx="12">
                  <c:v>2.429395158141229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1F-43C1-B4DE-3F7973419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1887728"/>
        <c:axId val="1381861520"/>
      </c:barChart>
      <c:catAx>
        <c:axId val="138188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861520"/>
        <c:crosses val="autoZero"/>
        <c:auto val="1"/>
        <c:lblAlgn val="ctr"/>
        <c:lblOffset val="100"/>
        <c:noMultiLvlLbl val="0"/>
      </c:catAx>
      <c:valAx>
        <c:axId val="138186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88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696343482815718"/>
          <c:y val="8.15947956888510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Insulin!$E$1</c:f>
              <c:strCache>
                <c:ptCount val="1"/>
                <c:pt idx="0">
                  <c:v>Insulin (ng/mL) - Corrected by dilution factor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Insulin!$B$2:$B$14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Insulin!$E$2:$E$14</c:f>
              <c:numCache>
                <c:formatCode>General</c:formatCode>
                <c:ptCount val="13"/>
                <c:pt idx="0">
                  <c:v>37.248976316241119</c:v>
                </c:pt>
                <c:pt idx="1">
                  <c:v>61.593214966196321</c:v>
                </c:pt>
                <c:pt idx="2">
                  <c:v>73.950229511306446</c:v>
                </c:pt>
                <c:pt idx="3">
                  <c:v>108.1378053313349</c:v>
                </c:pt>
                <c:pt idx="4">
                  <c:v>67.609081934067362</c:v>
                </c:pt>
                <c:pt idx="5">
                  <c:v>34.419613430493918</c:v>
                </c:pt>
                <c:pt idx="6">
                  <c:v>29.478795690189767</c:v>
                </c:pt>
                <c:pt idx="7">
                  <c:v>20.47725664117354</c:v>
                </c:pt>
                <c:pt idx="8">
                  <c:v>10.071778518980688</c:v>
                </c:pt>
                <c:pt idx="9">
                  <c:v>43.270299587667672</c:v>
                </c:pt>
                <c:pt idx="10">
                  <c:v>37.85643968278962</c:v>
                </c:pt>
                <c:pt idx="11">
                  <c:v>28.343455599215254</c:v>
                </c:pt>
                <c:pt idx="12">
                  <c:v>17.321250622428558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AF-4ED1-9F2F-55937E522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5427135"/>
        <c:axId val="715422815"/>
      </c:barChart>
      <c:catAx>
        <c:axId val="71542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422815"/>
        <c:crosses val="autoZero"/>
        <c:auto val="1"/>
        <c:lblAlgn val="ctr"/>
        <c:lblOffset val="100"/>
        <c:noMultiLvlLbl val="0"/>
      </c:catAx>
      <c:valAx>
        <c:axId val="715422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427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Insulin!$D$35</c:f>
              <c:strCache>
                <c:ptCount val="1"/>
                <c:pt idx="0">
                  <c:v>Insulin, ng/mL DM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Insulin!$A$36:$A$48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Insulin!$D$36:$D$48</c:f>
              <c:numCache>
                <c:formatCode>0.00</c:formatCode>
                <c:ptCount val="13"/>
                <c:pt idx="0">
                  <c:v>146.19338609144583</c:v>
                </c:pt>
                <c:pt idx="1">
                  <c:v>231.06285709821805</c:v>
                </c:pt>
                <c:pt idx="2">
                  <c:v>297.27276398287609</c:v>
                </c:pt>
                <c:pt idx="3">
                  <c:v>449.71396098664121</c:v>
                </c:pt>
                <c:pt idx="4">
                  <c:v>294.73224972804877</c:v>
                </c:pt>
                <c:pt idx="5">
                  <c:v>167.61676165566814</c:v>
                </c:pt>
                <c:pt idx="6">
                  <c:v>151.19956375703478</c:v>
                </c:pt>
                <c:pt idx="7">
                  <c:v>121.48872955695379</c:v>
                </c:pt>
                <c:pt idx="8">
                  <c:v>67.056618968289669</c:v>
                </c:pt>
                <c:pt idx="9">
                  <c:v>195.90108676000494</c:v>
                </c:pt>
                <c:pt idx="10">
                  <c:v>170.44127853827831</c:v>
                </c:pt>
                <c:pt idx="11">
                  <c:v>129.62873983893516</c:v>
                </c:pt>
                <c:pt idx="12">
                  <c:v>82.165879924534707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0E-4C50-898B-67E213BE7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1313968"/>
        <c:axId val="1861336016"/>
      </c:barChart>
      <c:catAx>
        <c:axId val="186131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36016"/>
        <c:crosses val="autoZero"/>
        <c:auto val="1"/>
        <c:lblAlgn val="ctr"/>
        <c:lblOffset val="100"/>
        <c:noMultiLvlLbl val="0"/>
      </c:catAx>
      <c:valAx>
        <c:axId val="186133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1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667632850241548"/>
          <c:y val="7.82851817334575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Lactoferrin!$B$19</c:f>
              <c:strCache>
                <c:ptCount val="1"/>
                <c:pt idx="0">
                  <c:v>Lactoferrin (ug/mL)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Lactoferrin!$A$20:$A$32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- Summit 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Lactoferrin!$B$20:$B$32</c:f>
              <c:numCache>
                <c:formatCode>General</c:formatCode>
                <c:ptCount val="13"/>
                <c:pt idx="0">
                  <c:v>212.05910843777269</c:v>
                </c:pt>
                <c:pt idx="1">
                  <c:v>1777.47440380889</c:v>
                </c:pt>
                <c:pt idx="2">
                  <c:v>2017.8400327173326</c:v>
                </c:pt>
                <c:pt idx="3">
                  <c:v>745.39796687991145</c:v>
                </c:pt>
                <c:pt idx="4">
                  <c:v>1855.7044715413526</c:v>
                </c:pt>
                <c:pt idx="5">
                  <c:v>605.75810148071116</c:v>
                </c:pt>
                <c:pt idx="6">
                  <c:v>501.70109072637837</c:v>
                </c:pt>
                <c:pt idx="7">
                  <c:v>311.36871774658175</c:v>
                </c:pt>
                <c:pt idx="8">
                  <c:v>161.62116985098945</c:v>
                </c:pt>
                <c:pt idx="9">
                  <c:v>567.581581501757</c:v>
                </c:pt>
                <c:pt idx="10">
                  <c:v>491.98393741678512</c:v>
                </c:pt>
                <c:pt idx="11">
                  <c:v>365.75009385471247</c:v>
                </c:pt>
                <c:pt idx="12">
                  <c:v>204.34493662004195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C0-427F-993D-AD403EF78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1869775"/>
        <c:axId val="313578847"/>
      </c:barChart>
      <c:catAx>
        <c:axId val="199186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578847"/>
        <c:crosses val="autoZero"/>
        <c:auto val="1"/>
        <c:lblAlgn val="ctr"/>
        <c:lblOffset val="100"/>
        <c:noMultiLvlLbl val="0"/>
      </c:catAx>
      <c:valAx>
        <c:axId val="3135788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baseline="0">
                    <a:effectLst/>
                  </a:rPr>
                  <a:t>ug/mL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9.6618357487922701E-3"/>
              <c:y val="0.361982183648490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86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Lactoferrin!$D$38</c:f>
              <c:strCache>
                <c:ptCount val="1"/>
                <c:pt idx="0">
                  <c:v>Lactoferrin, ug/mL DM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Lactoferrin!$A$39:$A$51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Lactoferrin!$D$39:$D$51</c:f>
              <c:numCache>
                <c:formatCode>0.00</c:formatCode>
                <c:ptCount val="13"/>
                <c:pt idx="0">
                  <c:v>832.28164046306688</c:v>
                </c:pt>
                <c:pt idx="1">
                  <c:v>6668.0772287733225</c:v>
                </c:pt>
                <c:pt idx="2">
                  <c:v>8111.5215972313672</c:v>
                </c:pt>
                <c:pt idx="3">
                  <c:v>3099.8952787126636</c:v>
                </c:pt>
                <c:pt idx="4">
                  <c:v>8089.6817126012265</c:v>
                </c:pt>
                <c:pt idx="5">
                  <c:v>2949.9230583144108</c:v>
                </c:pt>
                <c:pt idx="6">
                  <c:v>2573.2728993234055</c:v>
                </c:pt>
                <c:pt idx="7">
                  <c:v>1847.3075083089868</c:v>
                </c:pt>
                <c:pt idx="8">
                  <c:v>1076.0531701012683</c:v>
                </c:pt>
                <c:pt idx="9">
                  <c:v>2569.6574717695362</c:v>
                </c:pt>
                <c:pt idx="10">
                  <c:v>2215.0622725288986</c:v>
                </c:pt>
                <c:pt idx="11">
                  <c:v>1672.7573529767956</c:v>
                </c:pt>
                <c:pt idx="12">
                  <c:v>969.34002581592597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21-4583-986F-F32BEEDDC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2799760"/>
        <c:axId val="1702794768"/>
      </c:barChart>
      <c:catAx>
        <c:axId val="170279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794768"/>
        <c:crosses val="autoZero"/>
        <c:auto val="1"/>
        <c:lblAlgn val="ctr"/>
        <c:lblOffset val="100"/>
        <c:noMultiLvlLbl val="0"/>
      </c:catAx>
      <c:valAx>
        <c:axId val="170279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79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765444503486146"/>
          <c:y val="0.136402647055638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Lactose!$B$30</c:f>
              <c:strCache>
                <c:ptCount val="1"/>
                <c:pt idx="0">
                  <c:v>Lactose (mg/mL) - 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Lactose!$A$31:$A$43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Lactose!$B$31:$B$43</c:f>
              <c:numCache>
                <c:formatCode>General</c:formatCode>
                <c:ptCount val="13"/>
                <c:pt idx="0">
                  <c:v>20.86263091</c:v>
                </c:pt>
                <c:pt idx="1">
                  <c:v>18.117973395</c:v>
                </c:pt>
                <c:pt idx="2">
                  <c:v>21.594119724999999</c:v>
                </c:pt>
                <c:pt idx="3">
                  <c:v>20.135394850000001</c:v>
                </c:pt>
                <c:pt idx="4">
                  <c:v>19.579132469999998</c:v>
                </c:pt>
                <c:pt idx="5">
                  <c:v>23.607175204999997</c:v>
                </c:pt>
                <c:pt idx="6">
                  <c:v>28.024292384999999</c:v>
                </c:pt>
                <c:pt idx="7">
                  <c:v>27.822042175</c:v>
                </c:pt>
                <c:pt idx="8">
                  <c:v>35.768433344999998</c:v>
                </c:pt>
                <c:pt idx="9">
                  <c:v>27.277398810000001</c:v>
                </c:pt>
                <c:pt idx="10">
                  <c:v>33.298464460000005</c:v>
                </c:pt>
                <c:pt idx="11">
                  <c:v>38.545800370000002</c:v>
                </c:pt>
                <c:pt idx="12">
                  <c:v>49.414037074999996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93-4467-ADAA-92FF042E3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4428735"/>
        <c:axId val="694429215"/>
      </c:barChart>
      <c:catAx>
        <c:axId val="69442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429215"/>
        <c:crosses val="autoZero"/>
        <c:auto val="1"/>
        <c:lblAlgn val="ctr"/>
        <c:lblOffset val="100"/>
        <c:tickLblSkip val="1"/>
        <c:noMultiLvlLbl val="0"/>
      </c:catAx>
      <c:valAx>
        <c:axId val="694429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428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Lactose!$A$56:$A$68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Lactose!$D$56:$D$68</c:f>
              <c:numCache>
                <c:formatCode>0.00</c:formatCode>
                <c:ptCount val="13"/>
                <c:pt idx="0">
                  <c:v>81.880871828929301</c:v>
                </c:pt>
                <c:pt idx="1">
                  <c:v>67.968374435005259</c:v>
                </c:pt>
                <c:pt idx="2">
                  <c:v>86.806270904763366</c:v>
                </c:pt>
                <c:pt idx="3">
                  <c:v>83.737303029947995</c:v>
                </c:pt>
                <c:pt idx="4">
                  <c:v>85.35246442532825</c:v>
                </c:pt>
                <c:pt idx="5">
                  <c:v>114.96230972177136</c:v>
                </c:pt>
                <c:pt idx="6">
                  <c:v>143.73927713138252</c:v>
                </c:pt>
                <c:pt idx="7">
                  <c:v>165.06432559547329</c:v>
                </c:pt>
                <c:pt idx="8">
                  <c:v>238.14167491751721</c:v>
                </c:pt>
                <c:pt idx="9">
                  <c:v>123.49514844561068</c:v>
                </c:pt>
                <c:pt idx="10">
                  <c:v>149.91987898175222</c:v>
                </c:pt>
                <c:pt idx="11">
                  <c:v>176.28914408674302</c:v>
                </c:pt>
                <c:pt idx="12">
                  <c:v>234.4026955902157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A0-4D47-A91F-33BAF47CA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5411616"/>
        <c:axId val="1695414944"/>
      </c:barChart>
      <c:catAx>
        <c:axId val="169541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414944"/>
        <c:crosses val="autoZero"/>
        <c:auto val="1"/>
        <c:lblAlgn val="ctr"/>
        <c:lblOffset val="100"/>
        <c:noMultiLvlLbl val="0"/>
      </c:catAx>
      <c:valAx>
        <c:axId val="169541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41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Oligosaccharides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Oligosaccharides!$B$30</c:f>
              <c:strCache>
                <c:ptCount val="1"/>
                <c:pt idx="0">
                  <c:v>3SLN ug/ml - 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Oligosaccharides!$A$31:$A$43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Oligosaccharides!$B$31:$B$43</c:f>
              <c:numCache>
                <c:formatCode>General</c:formatCode>
                <c:ptCount val="13"/>
                <c:pt idx="1">
                  <c:v>0</c:v>
                </c:pt>
                <c:pt idx="2">
                  <c:v>1.4431138509420713</c:v>
                </c:pt>
                <c:pt idx="4">
                  <c:v>1.195103899542717</c:v>
                </c:pt>
                <c:pt idx="5">
                  <c:v>0.41131227287948863</c:v>
                </c:pt>
                <c:pt idx="6">
                  <c:v>0.40855266115004846</c:v>
                </c:pt>
                <c:pt idx="7">
                  <c:v>0</c:v>
                </c:pt>
                <c:pt idx="8">
                  <c:v>0</c:v>
                </c:pt>
                <c:pt idx="9">
                  <c:v>0.84880796353199339</c:v>
                </c:pt>
                <c:pt idx="10">
                  <c:v>0.56696573225171065</c:v>
                </c:pt>
                <c:pt idx="11">
                  <c:v>0.17200626329624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5B-4D40-B07B-844FE3D8A5D3}"/>
            </c:ext>
          </c:extLst>
        </c:ser>
        <c:ser>
          <c:idx val="1"/>
          <c:order val="1"/>
          <c:tx>
            <c:strRef>
              <c:f>Oligosaccharides!$C$30</c:f>
              <c:strCache>
                <c:ptCount val="1"/>
                <c:pt idx="0">
                  <c:v>3SL ug/ml - Mean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Oligosaccharides!$A$31:$A$43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Oligosaccharides!$C$31:$C$43</c:f>
              <c:numCache>
                <c:formatCode>General</c:formatCode>
                <c:ptCount val="13"/>
                <c:pt idx="0">
                  <c:v>1976.3908141016936</c:v>
                </c:pt>
                <c:pt idx="1">
                  <c:v>2431.5555053625912</c:v>
                </c:pt>
                <c:pt idx="2">
                  <c:v>2470.8659905221903</c:v>
                </c:pt>
                <c:pt idx="3">
                  <c:v>2056.8797048358192</c:v>
                </c:pt>
                <c:pt idx="4">
                  <c:v>2495.6790320412138</c:v>
                </c:pt>
                <c:pt idx="5">
                  <c:v>1432.545495138942</c:v>
                </c:pt>
                <c:pt idx="6">
                  <c:v>1335.3689731295667</c:v>
                </c:pt>
                <c:pt idx="7">
                  <c:v>815.1334280656356</c:v>
                </c:pt>
                <c:pt idx="8">
                  <c:v>611.1357930188758</c:v>
                </c:pt>
                <c:pt idx="9">
                  <c:v>1512.9521683453061</c:v>
                </c:pt>
                <c:pt idx="10">
                  <c:v>1491.0423079365378</c:v>
                </c:pt>
                <c:pt idx="11">
                  <c:v>1136.3792968019209</c:v>
                </c:pt>
                <c:pt idx="12">
                  <c:v>1049.9171848172664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5B-4D40-B07B-844FE3D8A5D3}"/>
            </c:ext>
          </c:extLst>
        </c:ser>
        <c:ser>
          <c:idx val="2"/>
          <c:order val="2"/>
          <c:tx>
            <c:strRef>
              <c:f>Oligosaccharides!$D$30</c:f>
              <c:strCache>
                <c:ptCount val="1"/>
                <c:pt idx="0">
                  <c:v>6SLN ug/ml - Mean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Oligosaccharides!$A$31:$A$43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Oligosaccharides!$D$31:$D$43</c:f>
              <c:numCache>
                <c:formatCode>General</c:formatCode>
                <c:ptCount val="13"/>
                <c:pt idx="0">
                  <c:v>254.63439152394972</c:v>
                </c:pt>
                <c:pt idx="1">
                  <c:v>393.81123770673292</c:v>
                </c:pt>
                <c:pt idx="2">
                  <c:v>496.99447395938193</c:v>
                </c:pt>
                <c:pt idx="3">
                  <c:v>355.140135370949</c:v>
                </c:pt>
                <c:pt idx="4">
                  <c:v>422.35156391690771</c:v>
                </c:pt>
                <c:pt idx="5">
                  <c:v>301.41503774894306</c:v>
                </c:pt>
                <c:pt idx="6">
                  <c:v>309.74019981735273</c:v>
                </c:pt>
                <c:pt idx="7">
                  <c:v>190.93853895745099</c:v>
                </c:pt>
                <c:pt idx="8">
                  <c:v>115.53406894498113</c:v>
                </c:pt>
                <c:pt idx="9">
                  <c:v>312.96992058006731</c:v>
                </c:pt>
                <c:pt idx="10">
                  <c:v>331.06900058471479</c:v>
                </c:pt>
                <c:pt idx="11">
                  <c:v>245.67988970347551</c:v>
                </c:pt>
                <c:pt idx="12">
                  <c:v>192.97559386233866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5B-4D40-B07B-844FE3D8A5D3}"/>
            </c:ext>
          </c:extLst>
        </c:ser>
        <c:ser>
          <c:idx val="3"/>
          <c:order val="3"/>
          <c:tx>
            <c:strRef>
              <c:f>Oligosaccharides!$E$30</c:f>
              <c:strCache>
                <c:ptCount val="1"/>
                <c:pt idx="0">
                  <c:v>6SL ug/ml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Oligosaccharides!$A$31:$A$43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Oligosaccharides!$E$31:$E$43</c:f>
              <c:numCache>
                <c:formatCode>General</c:formatCode>
                <c:ptCount val="13"/>
                <c:pt idx="0">
                  <c:v>137.64914843504494</c:v>
                </c:pt>
                <c:pt idx="1">
                  <c:v>230.39445960763464</c:v>
                </c:pt>
                <c:pt idx="2">
                  <c:v>326.5206550190797</c:v>
                </c:pt>
                <c:pt idx="3">
                  <c:v>213.02722066442072</c:v>
                </c:pt>
                <c:pt idx="4">
                  <c:v>245.61507970859191</c:v>
                </c:pt>
                <c:pt idx="5">
                  <c:v>180.52752371980114</c:v>
                </c:pt>
                <c:pt idx="6">
                  <c:v>193.22690078402258</c:v>
                </c:pt>
                <c:pt idx="7">
                  <c:v>140.27329138714265</c:v>
                </c:pt>
                <c:pt idx="8">
                  <c:v>116.47941661568458</c:v>
                </c:pt>
                <c:pt idx="9">
                  <c:v>187.68654354922589</c:v>
                </c:pt>
                <c:pt idx="10">
                  <c:v>212.80674678401806</c:v>
                </c:pt>
                <c:pt idx="11">
                  <c:v>182.95115018261868</c:v>
                </c:pt>
                <c:pt idx="12">
                  <c:v>181.97285229051792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5B-4D40-B07B-844FE3D8A5D3}"/>
            </c:ext>
          </c:extLst>
        </c:ser>
        <c:ser>
          <c:idx val="4"/>
          <c:order val="4"/>
          <c:tx>
            <c:strRef>
              <c:f>Oligosaccharides!$F$30</c:f>
              <c:strCache>
                <c:ptCount val="1"/>
                <c:pt idx="0">
                  <c:v>DSL ug/mL - Mean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Oligosaccharides!$A$31:$A$43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Oligosaccharides!$F$31:$F$43</c:f>
              <c:numCache>
                <c:formatCode>General</c:formatCode>
                <c:ptCount val="13"/>
                <c:pt idx="0">
                  <c:v>882.31540724332649</c:v>
                </c:pt>
                <c:pt idx="1">
                  <c:v>879.07085534720136</c:v>
                </c:pt>
                <c:pt idx="2">
                  <c:v>868.52398299454353</c:v>
                </c:pt>
                <c:pt idx="3">
                  <c:v>671.64686873215192</c:v>
                </c:pt>
                <c:pt idx="4">
                  <c:v>1017.185340166355</c:v>
                </c:pt>
                <c:pt idx="5">
                  <c:v>410.20414917572054</c:v>
                </c:pt>
                <c:pt idx="6">
                  <c:v>362.96689764885753</c:v>
                </c:pt>
                <c:pt idx="7">
                  <c:v>181.76808830273629</c:v>
                </c:pt>
                <c:pt idx="8">
                  <c:v>114.24186173921619</c:v>
                </c:pt>
                <c:pt idx="9">
                  <c:v>440.98595829072485</c:v>
                </c:pt>
                <c:pt idx="10">
                  <c:v>408.58745119266189</c:v>
                </c:pt>
                <c:pt idx="11">
                  <c:v>270.31995559634595</c:v>
                </c:pt>
                <c:pt idx="12">
                  <c:v>202.20436527096382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5B-4D40-B07B-844FE3D8A5D3}"/>
            </c:ext>
          </c:extLst>
        </c:ser>
        <c:ser>
          <c:idx val="5"/>
          <c:order val="5"/>
          <c:tx>
            <c:strRef>
              <c:f>Oligosaccharides!$G$30</c:f>
              <c:strCache>
                <c:ptCount val="1"/>
                <c:pt idx="0">
                  <c:v>Total OS, ug/mL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Oligosaccharides!$A$31:$A$43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Oligosaccharides!$G$31:$G$43</c:f>
              <c:numCache>
                <c:formatCode>General</c:formatCode>
                <c:ptCount val="13"/>
                <c:pt idx="0">
                  <c:v>3250.9897613040148</c:v>
                </c:pt>
                <c:pt idx="1">
                  <c:v>3934.8320580241598</c:v>
                </c:pt>
                <c:pt idx="2">
                  <c:v>4164.3482163461367</c:v>
                </c:pt>
                <c:pt idx="3">
                  <c:v>3296.6939296033406</c:v>
                </c:pt>
                <c:pt idx="4">
                  <c:v>4182.0261197326117</c:v>
                </c:pt>
                <c:pt idx="5">
                  <c:v>2325.1035180562862</c:v>
                </c:pt>
                <c:pt idx="6">
                  <c:v>2201.7115240409498</c:v>
                </c:pt>
                <c:pt idx="7">
                  <c:v>1328.1133467129655</c:v>
                </c:pt>
                <c:pt idx="8">
                  <c:v>957.39114031875772</c:v>
                </c:pt>
                <c:pt idx="9">
                  <c:v>2455.4433987288562</c:v>
                </c:pt>
                <c:pt idx="10">
                  <c:v>2444.0724722301843</c:v>
                </c:pt>
                <c:pt idx="11">
                  <c:v>1835.5022985476571</c:v>
                </c:pt>
                <c:pt idx="12">
                  <c:v>1627.0699962410868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5B-4D40-B07B-844FE3D8A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9017967"/>
        <c:axId val="439018447"/>
      </c:barChart>
      <c:catAx>
        <c:axId val="43901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18447"/>
        <c:crosses val="autoZero"/>
        <c:auto val="1"/>
        <c:lblAlgn val="ctr"/>
        <c:lblOffset val="100"/>
        <c:noMultiLvlLbl val="0"/>
      </c:catAx>
      <c:valAx>
        <c:axId val="439018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17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039793169373425"/>
          <c:y val="8.759754819931076E-2"/>
          <c:w val="0.58349328558992219"/>
          <c:h val="4.26408543530921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Oligosaccharides </a:t>
            </a:r>
            <a:r>
              <a:rPr lang="en-US" sz="1800" baseline="0"/>
              <a:t> - Rest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Oligosaccharides!$H$30</c:f>
              <c:strCache>
                <c:ptCount val="1"/>
                <c:pt idx="0">
                  <c:v>CMP ug/ml - 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Oligosaccharides!$A$31:$A$43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Oligosaccharides!$H$31:$H$43</c:f>
              <c:numCache>
                <c:formatCode>General</c:formatCode>
                <c:ptCount val="13"/>
                <c:pt idx="0">
                  <c:v>22.897647530988237</c:v>
                </c:pt>
                <c:pt idx="1">
                  <c:v>19.803721455101034</c:v>
                </c:pt>
                <c:pt idx="2">
                  <c:v>20.013113814553961</c:v>
                </c:pt>
                <c:pt idx="3">
                  <c:v>21.678244967115305</c:v>
                </c:pt>
                <c:pt idx="4">
                  <c:v>20.702107056136207</c:v>
                </c:pt>
                <c:pt idx="5">
                  <c:v>22.550071610793395</c:v>
                </c:pt>
                <c:pt idx="6">
                  <c:v>40.51508924451862</c:v>
                </c:pt>
                <c:pt idx="7">
                  <c:v>87.311202282844391</c:v>
                </c:pt>
                <c:pt idx="8">
                  <c:v>157.65163856200974</c:v>
                </c:pt>
                <c:pt idx="9">
                  <c:v>33.25564090024983</c:v>
                </c:pt>
                <c:pt idx="10">
                  <c:v>45.776457188198911</c:v>
                </c:pt>
                <c:pt idx="11">
                  <c:v>78.124497424272633</c:v>
                </c:pt>
                <c:pt idx="12">
                  <c:v>119.01652782012192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10-4F1C-BED9-F67038CD54F8}"/>
            </c:ext>
          </c:extLst>
        </c:ser>
        <c:ser>
          <c:idx val="1"/>
          <c:order val="1"/>
          <c:tx>
            <c:strRef>
              <c:f>Oligosaccharides!$I$30</c:f>
              <c:strCache>
                <c:ptCount val="1"/>
                <c:pt idx="0">
                  <c:v>CMP-Neu5Ac  ug/ml - Mean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Oligosaccharides!$A$31:$A$43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Oligosaccharides!$I$31:$I$43</c:f>
              <c:numCache>
                <c:formatCode>General</c:formatCode>
                <c:ptCount val="13"/>
                <c:pt idx="0">
                  <c:v>20.025831233926464</c:v>
                </c:pt>
                <c:pt idx="1">
                  <c:v>10.89730175703637</c:v>
                </c:pt>
                <c:pt idx="2">
                  <c:v>11.264209347988841</c:v>
                </c:pt>
                <c:pt idx="3">
                  <c:v>13.527333324941363</c:v>
                </c:pt>
                <c:pt idx="4">
                  <c:v>10.684955205309734</c:v>
                </c:pt>
                <c:pt idx="5">
                  <c:v>18.337886000350359</c:v>
                </c:pt>
                <c:pt idx="6">
                  <c:v>61.579514926964812</c:v>
                </c:pt>
                <c:pt idx="7">
                  <c:v>196.07961397930876</c:v>
                </c:pt>
                <c:pt idx="8">
                  <c:v>370.96546027676698</c:v>
                </c:pt>
                <c:pt idx="9">
                  <c:v>33.424710084625943</c:v>
                </c:pt>
                <c:pt idx="10">
                  <c:v>68.834820569144654</c:v>
                </c:pt>
                <c:pt idx="11">
                  <c:v>157.35474401717818</c:v>
                </c:pt>
                <c:pt idx="12">
                  <c:v>245.47802325748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10-4F1C-BED9-F67038CD54F8}"/>
            </c:ext>
          </c:extLst>
        </c:ser>
        <c:ser>
          <c:idx val="2"/>
          <c:order val="2"/>
          <c:tx>
            <c:strRef>
              <c:f>Oligosaccharides!$J$30</c:f>
              <c:strCache>
                <c:ptCount val="1"/>
                <c:pt idx="0">
                  <c:v>CMP-Neu5Gc ug/ml - Mean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Oligosaccharides!$A$31:$A$43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Oligosaccharides!$J$31:$J$43</c:f>
              <c:numCache>
                <c:formatCode>General</c:formatCode>
                <c:ptCount val="13"/>
                <c:pt idx="0">
                  <c:v>5.4245861912408362</c:v>
                </c:pt>
                <c:pt idx="1">
                  <c:v>0</c:v>
                </c:pt>
                <c:pt idx="2">
                  <c:v>0</c:v>
                </c:pt>
                <c:pt idx="3">
                  <c:v>2.6873833670161011</c:v>
                </c:pt>
                <c:pt idx="4">
                  <c:v>0</c:v>
                </c:pt>
                <c:pt idx="5">
                  <c:v>5.3891194824184989</c:v>
                </c:pt>
                <c:pt idx="6">
                  <c:v>6.1518316487316174</c:v>
                </c:pt>
                <c:pt idx="7">
                  <c:v>8.6093543021803214</c:v>
                </c:pt>
                <c:pt idx="8">
                  <c:v>12.964642422012162</c:v>
                </c:pt>
                <c:pt idx="9">
                  <c:v>5.7163858691771141</c:v>
                </c:pt>
                <c:pt idx="10">
                  <c:v>6.4288041072605644</c:v>
                </c:pt>
                <c:pt idx="11">
                  <c:v>8.8767187225333188</c:v>
                </c:pt>
                <c:pt idx="12">
                  <c:v>11.624410670337825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10-4F1C-BED9-F67038CD54F8}"/>
            </c:ext>
          </c:extLst>
        </c:ser>
        <c:ser>
          <c:idx val="3"/>
          <c:order val="3"/>
          <c:tx>
            <c:strRef>
              <c:f>Oligosaccharides!$K$30</c:f>
              <c:strCache>
                <c:ptCount val="1"/>
                <c:pt idx="0">
                  <c:v>Neu5Ac ug/ml - Mean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Oligosaccharides!$A$31:$A$43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Oligosaccharides!$K$31:$K$43</c:f>
              <c:numCache>
                <c:formatCode>General</c:formatCode>
                <c:ptCount val="13"/>
                <c:pt idx="0">
                  <c:v>16.803044937420427</c:v>
                </c:pt>
                <c:pt idx="1">
                  <c:v>15.8104387799163</c:v>
                </c:pt>
                <c:pt idx="2">
                  <c:v>15.815465410561039</c:v>
                </c:pt>
                <c:pt idx="3">
                  <c:v>18.860518017847426</c:v>
                </c:pt>
                <c:pt idx="4">
                  <c:v>16.7801773078676</c:v>
                </c:pt>
                <c:pt idx="5">
                  <c:v>17.971276377826669</c:v>
                </c:pt>
                <c:pt idx="6">
                  <c:v>19.699446153010982</c:v>
                </c:pt>
                <c:pt idx="7">
                  <c:v>21.387497279857001</c:v>
                </c:pt>
                <c:pt idx="8">
                  <c:v>25.309449142998893</c:v>
                </c:pt>
                <c:pt idx="9">
                  <c:v>21.380441117590443</c:v>
                </c:pt>
                <c:pt idx="10">
                  <c:v>26.068493969559434</c:v>
                </c:pt>
                <c:pt idx="11">
                  <c:v>30.75185057975235</c:v>
                </c:pt>
                <c:pt idx="12">
                  <c:v>39.753680302282518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10-4F1C-BED9-F67038CD54F8}"/>
            </c:ext>
          </c:extLst>
        </c:ser>
        <c:ser>
          <c:idx val="4"/>
          <c:order val="4"/>
          <c:tx>
            <c:strRef>
              <c:f>Oligosaccharides!$L$30</c:f>
              <c:strCache>
                <c:ptCount val="1"/>
                <c:pt idx="0">
                  <c:v>Neu5Gc ug/ml - Mean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Oligosaccharides!$A$31:$A$43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Oligosaccharides!$L$31:$L$43</c:f>
              <c:numCache>
                <c:formatCode>General</c:formatCode>
                <c:ptCount val="13"/>
                <c:pt idx="0">
                  <c:v>0.75622336128334322</c:v>
                </c:pt>
                <c:pt idx="1">
                  <c:v>0.68226089019528913</c:v>
                </c:pt>
                <c:pt idx="2">
                  <c:v>0.74128744268181035</c:v>
                </c:pt>
                <c:pt idx="3">
                  <c:v>0.86343308826504117</c:v>
                </c:pt>
                <c:pt idx="4">
                  <c:v>0.76899554995501818</c:v>
                </c:pt>
                <c:pt idx="5">
                  <c:v>0.63719348679910792</c:v>
                </c:pt>
                <c:pt idx="6">
                  <c:v>0.62841492536939914</c:v>
                </c:pt>
                <c:pt idx="7">
                  <c:v>0.6171140730500273</c:v>
                </c:pt>
                <c:pt idx="8">
                  <c:v>0.62264085749943554</c:v>
                </c:pt>
                <c:pt idx="9">
                  <c:v>0.77057816384657141</c:v>
                </c:pt>
                <c:pt idx="10">
                  <c:v>0.7711469157138483</c:v>
                </c:pt>
                <c:pt idx="11">
                  <c:v>0.81256688865684068</c:v>
                </c:pt>
                <c:pt idx="12">
                  <c:v>0.87207378088105836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10-4F1C-BED9-F67038CD5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6760719"/>
        <c:axId val="686765039"/>
      </c:barChart>
      <c:catAx>
        <c:axId val="68676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765039"/>
        <c:crosses val="autoZero"/>
        <c:auto val="1"/>
        <c:lblAlgn val="ctr"/>
        <c:lblOffset val="100"/>
        <c:noMultiLvlLbl val="0"/>
      </c:catAx>
      <c:valAx>
        <c:axId val="686765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76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4832658837985279E-2"/>
          <c:y val="7.4810426540284358E-2"/>
          <c:w val="0.69251192789036542"/>
          <c:h val="3.95086208152033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5774080018473967"/>
          <c:y val="0.104597202469843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'SCFA DM'!$C$17</c:f>
              <c:strCache>
                <c:ptCount val="1"/>
                <c:pt idx="0">
                  <c:v>Acetic Acid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'SCFA DM'!$A$18:$A$30</c:f>
              <c:strCache>
                <c:ptCount val="13"/>
                <c:pt idx="0">
                  <c:v>Beef Colostrum</c:v>
                </c:pt>
                <c:pt idx="1">
                  <c:v>Summit Dairy</c:v>
                </c:pt>
                <c:pt idx="2">
                  <c:v>Walkers Dairy</c:v>
                </c:pt>
                <c:pt idx="3">
                  <c:v>Elora Dairy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Powder</c:v>
                </c:pt>
                <c:pt idx="10">
                  <c:v>SCCL B - Powder</c:v>
                </c:pt>
                <c:pt idx="11">
                  <c:v>SCCL C - Powder</c:v>
                </c:pt>
                <c:pt idx="12">
                  <c:v>SCCL D - Powder</c:v>
                </c:pt>
              </c:strCache>
            </c:strRef>
          </c:cat>
          <c:val>
            <c:numRef>
              <c:f>'SCFA DM'!$D$18:$D$30</c:f>
              <c:numCache>
                <c:formatCode>0.00</c:formatCode>
                <c:ptCount val="13"/>
                <c:pt idx="0">
                  <c:v>11.755542141103229</c:v>
                </c:pt>
                <c:pt idx="1">
                  <c:v>13.977523042900327</c:v>
                </c:pt>
                <c:pt idx="2">
                  <c:v>14.657394033930681</c:v>
                </c:pt>
                <c:pt idx="3">
                  <c:v>16.060287429223621</c:v>
                </c:pt>
                <c:pt idx="4">
                  <c:v>17.18767761926782</c:v>
                </c:pt>
                <c:pt idx="5">
                  <c:v>19.579212261297595</c:v>
                </c:pt>
                <c:pt idx="6">
                  <c:v>21.450548567226456</c:v>
                </c:pt>
                <c:pt idx="7">
                  <c:v>25.545148530202184</c:v>
                </c:pt>
                <c:pt idx="8">
                  <c:v>32.297788199963016</c:v>
                </c:pt>
                <c:pt idx="9">
                  <c:v>27.7507602665729</c:v>
                </c:pt>
                <c:pt idx="10">
                  <c:v>24.835933651138081</c:v>
                </c:pt>
                <c:pt idx="11">
                  <c:v>27.502437018662807</c:v>
                </c:pt>
                <c:pt idx="12">
                  <c:v>29.460870433220467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C-4112-AF75-A07866AFB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1395680"/>
        <c:axId val="1191399040"/>
      </c:barChart>
      <c:catAx>
        <c:axId val="119139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91399040"/>
        <c:crosses val="autoZero"/>
        <c:auto val="1"/>
        <c:lblAlgn val="ctr"/>
        <c:lblOffset val="100"/>
        <c:noMultiLvlLbl val="0"/>
      </c:catAx>
      <c:valAx>
        <c:axId val="11913990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Acetic acid, mM</a:t>
                </a:r>
              </a:p>
            </c:rich>
          </c:tx>
          <c:layout>
            <c:manualLayout>
              <c:xMode val="edge"/>
              <c:yMode val="edge"/>
              <c:x val="9.8546447656627551E-4"/>
              <c:y val="0.329347552034916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9139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'SCFA DM'!$B$33</c:f>
              <c:strCache>
                <c:ptCount val="1"/>
                <c:pt idx="0">
                  <c:v>Propionic Acid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'SCFA DM'!$A$34:$A$46</c:f>
              <c:strCache>
                <c:ptCount val="13"/>
                <c:pt idx="0">
                  <c:v>Beef Colostrum</c:v>
                </c:pt>
                <c:pt idx="1">
                  <c:v>Summit Dairy</c:v>
                </c:pt>
                <c:pt idx="2">
                  <c:v>Walkers Dairy</c:v>
                </c:pt>
                <c:pt idx="3">
                  <c:v>Elora Dairy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Powder</c:v>
                </c:pt>
                <c:pt idx="10">
                  <c:v>SCCL B - Powder</c:v>
                </c:pt>
                <c:pt idx="11">
                  <c:v>SCCL C - Powder</c:v>
                </c:pt>
                <c:pt idx="12">
                  <c:v>SCCL D - Powder</c:v>
                </c:pt>
              </c:strCache>
            </c:strRef>
          </c:cat>
          <c:val>
            <c:numRef>
              <c:f>'SCFA DM'!$B$34:$B$46</c:f>
              <c:numCache>
                <c:formatCode>0.00</c:formatCode>
                <c:ptCount val="13"/>
                <c:pt idx="0">
                  <c:v>0.1735832763059276</c:v>
                </c:pt>
                <c:pt idx="1">
                  <c:v>0.13021800762537883</c:v>
                </c:pt>
                <c:pt idx="2">
                  <c:v>0.1001482712549288</c:v>
                </c:pt>
                <c:pt idx="3">
                  <c:v>9.4551438719979147E-2</c:v>
                </c:pt>
                <c:pt idx="4">
                  <c:v>8.9427118975461919E-2</c:v>
                </c:pt>
                <c:pt idx="5">
                  <c:v>7.5919770586893476E-2</c:v>
                </c:pt>
                <c:pt idx="6">
                  <c:v>8.4408707270179545E-2</c:v>
                </c:pt>
                <c:pt idx="7">
                  <c:v>7.9936129305569134E-2</c:v>
                </c:pt>
                <c:pt idx="8">
                  <c:v>9.2001499006093779E-2</c:v>
                </c:pt>
                <c:pt idx="9">
                  <c:v>7.3899371069182387E-2</c:v>
                </c:pt>
                <c:pt idx="10">
                  <c:v>5.8273861895916837E-2</c:v>
                </c:pt>
                <c:pt idx="11">
                  <c:v>7.2823997132336171E-2</c:v>
                </c:pt>
                <c:pt idx="12">
                  <c:v>7.8885195685469423E-2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3C-4667-B5C6-E6070F260A3A}"/>
            </c:ext>
          </c:extLst>
        </c:ser>
        <c:ser>
          <c:idx val="1"/>
          <c:order val="1"/>
          <c:tx>
            <c:strRef>
              <c:f>'SCFA DM'!$C$33</c:f>
              <c:strCache>
                <c:ptCount val="1"/>
                <c:pt idx="0">
                  <c:v>Isobutyric Acid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'SCFA DM'!$A$34:$A$46</c:f>
              <c:strCache>
                <c:ptCount val="13"/>
                <c:pt idx="0">
                  <c:v>Beef Colostrum</c:v>
                </c:pt>
                <c:pt idx="1">
                  <c:v>Summit Dairy</c:v>
                </c:pt>
                <c:pt idx="2">
                  <c:v>Walkers Dairy</c:v>
                </c:pt>
                <c:pt idx="3">
                  <c:v>Elora Dairy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Powder</c:v>
                </c:pt>
                <c:pt idx="10">
                  <c:v>SCCL B - Powder</c:v>
                </c:pt>
                <c:pt idx="11">
                  <c:v>SCCL C - Powder</c:v>
                </c:pt>
                <c:pt idx="12">
                  <c:v>SCCL D - Powder</c:v>
                </c:pt>
              </c:strCache>
            </c:strRef>
          </c:cat>
          <c:val>
            <c:numRef>
              <c:f>'SCFA DM'!$C$34:$C$46</c:f>
              <c:numCache>
                <c:formatCode>0.00</c:formatCode>
                <c:ptCount val="13"/>
                <c:pt idx="0">
                  <c:v>0.13053984851808578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3C-4667-B5C6-E6070F260A3A}"/>
            </c:ext>
          </c:extLst>
        </c:ser>
        <c:ser>
          <c:idx val="2"/>
          <c:order val="2"/>
          <c:tx>
            <c:strRef>
              <c:f>'SCFA DM'!$D$33</c:f>
              <c:strCache>
                <c:ptCount val="1"/>
                <c:pt idx="0">
                  <c:v>Butyric Acid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'SCFA DM'!$A$34:$A$46</c:f>
              <c:strCache>
                <c:ptCount val="13"/>
                <c:pt idx="0">
                  <c:v>Beef Colostrum</c:v>
                </c:pt>
                <c:pt idx="1">
                  <c:v>Summit Dairy</c:v>
                </c:pt>
                <c:pt idx="2">
                  <c:v>Walkers Dairy</c:v>
                </c:pt>
                <c:pt idx="3">
                  <c:v>Elora Dairy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Powder</c:v>
                </c:pt>
                <c:pt idx="10">
                  <c:v>SCCL B - Powder</c:v>
                </c:pt>
                <c:pt idx="11">
                  <c:v>SCCL C - Powder</c:v>
                </c:pt>
                <c:pt idx="12">
                  <c:v>SCCL D - Powder</c:v>
                </c:pt>
              </c:strCache>
            </c:strRef>
          </c:cat>
          <c:val>
            <c:numRef>
              <c:f>'SCFA DM'!$D$34:$D$46</c:f>
              <c:numCache>
                <c:formatCode>0.00</c:formatCode>
                <c:ptCount val="13"/>
                <c:pt idx="0">
                  <c:v>0.64313335384091574</c:v>
                </c:pt>
                <c:pt idx="1">
                  <c:v>0.41747602137895545</c:v>
                </c:pt>
                <c:pt idx="2">
                  <c:v>0.35454727851816992</c:v>
                </c:pt>
                <c:pt idx="3">
                  <c:v>0.42391971520277172</c:v>
                </c:pt>
                <c:pt idx="4">
                  <c:v>0.41708765300204087</c:v>
                </c:pt>
                <c:pt idx="5">
                  <c:v>0.49792002951321868</c:v>
                </c:pt>
                <c:pt idx="6">
                  <c:v>0.49807290170682178</c:v>
                </c:pt>
                <c:pt idx="7">
                  <c:v>0.57715802100992619</c:v>
                </c:pt>
                <c:pt idx="8">
                  <c:v>0.70590118900847498</c:v>
                </c:pt>
                <c:pt idx="9">
                  <c:v>0.66139700365692589</c:v>
                </c:pt>
                <c:pt idx="10">
                  <c:v>0.54977681313232418</c:v>
                </c:pt>
                <c:pt idx="11">
                  <c:v>0.66377127348798937</c:v>
                </c:pt>
                <c:pt idx="12">
                  <c:v>0.6262319364606499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3C-4667-B5C6-E6070F260A3A}"/>
            </c:ext>
          </c:extLst>
        </c:ser>
        <c:ser>
          <c:idx val="3"/>
          <c:order val="3"/>
          <c:tx>
            <c:strRef>
              <c:f>'SCFA DM'!$E$33</c:f>
              <c:strCache>
                <c:ptCount val="1"/>
                <c:pt idx="0">
                  <c:v>Isovaleric Acid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'SCFA DM'!$A$34:$A$46</c:f>
              <c:strCache>
                <c:ptCount val="13"/>
                <c:pt idx="0">
                  <c:v>Beef Colostrum</c:v>
                </c:pt>
                <c:pt idx="1">
                  <c:v>Summit Dairy</c:v>
                </c:pt>
                <c:pt idx="2">
                  <c:v>Walkers Dairy</c:v>
                </c:pt>
                <c:pt idx="3">
                  <c:v>Elora Dairy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Powder</c:v>
                </c:pt>
                <c:pt idx="10">
                  <c:v>SCCL B - Powder</c:v>
                </c:pt>
                <c:pt idx="11">
                  <c:v>SCCL C - Powder</c:v>
                </c:pt>
                <c:pt idx="12">
                  <c:v>SCCL D - Powder</c:v>
                </c:pt>
              </c:strCache>
            </c:strRef>
          </c:cat>
          <c:val>
            <c:numRef>
              <c:f>'SCFA DM'!$E$34:$E$46</c:f>
              <c:numCache>
                <c:formatCode>0.00</c:formatCode>
                <c:ptCount val="13"/>
                <c:pt idx="0">
                  <c:v>0.12763473387585531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3C-4667-B5C6-E6070F260A3A}"/>
            </c:ext>
          </c:extLst>
        </c:ser>
        <c:ser>
          <c:idx val="4"/>
          <c:order val="4"/>
          <c:tx>
            <c:strRef>
              <c:f>'SCFA DM'!$F$33</c:f>
              <c:strCache>
                <c:ptCount val="1"/>
                <c:pt idx="0">
                  <c:v>Valeric Acid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'SCFA DM'!$A$34:$A$46</c:f>
              <c:strCache>
                <c:ptCount val="13"/>
                <c:pt idx="0">
                  <c:v>Beef Colostrum</c:v>
                </c:pt>
                <c:pt idx="1">
                  <c:v>Summit Dairy</c:v>
                </c:pt>
                <c:pt idx="2">
                  <c:v>Walkers Dairy</c:v>
                </c:pt>
                <c:pt idx="3">
                  <c:v>Elora Dairy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Powder</c:v>
                </c:pt>
                <c:pt idx="10">
                  <c:v>SCCL B - Powder</c:v>
                </c:pt>
                <c:pt idx="11">
                  <c:v>SCCL C - Powder</c:v>
                </c:pt>
                <c:pt idx="12">
                  <c:v>SCCL D - Powder</c:v>
                </c:pt>
              </c:strCache>
            </c:strRef>
          </c:cat>
          <c:val>
            <c:numRef>
              <c:f>'SCFA DM'!$F$34:$F$46</c:f>
              <c:numCache>
                <c:formatCode>0.00</c:formatCode>
                <c:ptCount val="13"/>
                <c:pt idx="0">
                  <c:v>0.57431489874329322</c:v>
                </c:pt>
                <c:pt idx="1">
                  <c:v>0.19911047454822139</c:v>
                </c:pt>
                <c:pt idx="2">
                  <c:v>0.10866239066567882</c:v>
                </c:pt>
                <c:pt idx="3">
                  <c:v>8.3266241774182917E-2</c:v>
                </c:pt>
                <c:pt idx="4">
                  <c:v>7.1195895686887931E-2</c:v>
                </c:pt>
                <c:pt idx="5">
                  <c:v>6.7262069009627154E-2</c:v>
                </c:pt>
                <c:pt idx="6">
                  <c:v>7.4641707108858382E-2</c:v>
                </c:pt>
                <c:pt idx="7">
                  <c:v>6.5063861365961942E-2</c:v>
                </c:pt>
                <c:pt idx="8">
                  <c:v>9.9017034588506997E-2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3C-4667-B5C6-E6070F260A3A}"/>
            </c:ext>
          </c:extLst>
        </c:ser>
        <c:ser>
          <c:idx val="5"/>
          <c:order val="5"/>
          <c:tx>
            <c:strRef>
              <c:f>'SCFA DM'!$G$33</c:f>
              <c:strCache>
                <c:ptCount val="1"/>
                <c:pt idx="0">
                  <c:v>Isocaproic Acid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'SCFA DM'!$A$34:$A$46</c:f>
              <c:strCache>
                <c:ptCount val="13"/>
                <c:pt idx="0">
                  <c:v>Beef Colostrum</c:v>
                </c:pt>
                <c:pt idx="1">
                  <c:v>Summit Dairy</c:v>
                </c:pt>
                <c:pt idx="2">
                  <c:v>Walkers Dairy</c:v>
                </c:pt>
                <c:pt idx="3">
                  <c:v>Elora Dairy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Powder</c:v>
                </c:pt>
                <c:pt idx="10">
                  <c:v>SCCL B - Powder</c:v>
                </c:pt>
                <c:pt idx="11">
                  <c:v>SCCL C - Powder</c:v>
                </c:pt>
                <c:pt idx="12">
                  <c:v>SCCL D - Powder</c:v>
                </c:pt>
              </c:strCache>
            </c:strRef>
          </c:cat>
          <c:val>
            <c:numRef>
              <c:f>'SCFA DM'!$G$34:$G$46</c:f>
              <c:numCache>
                <c:formatCode>0.00</c:formatCode>
                <c:ptCount val="13"/>
                <c:pt idx="0">
                  <c:v>0.7876024258073846</c:v>
                </c:pt>
                <c:pt idx="1">
                  <c:v>0.20760752091644663</c:v>
                </c:pt>
                <c:pt idx="2">
                  <c:v>8.6214470360305384E-2</c:v>
                </c:pt>
                <c:pt idx="3">
                  <c:v>7.5056793434105554E-2</c:v>
                </c:pt>
                <c:pt idx="4">
                  <c:v>5.7424240025991447E-2</c:v>
                </c:pt>
                <c:pt idx="5">
                  <c:v>6.1023804250063152E-2</c:v>
                </c:pt>
                <c:pt idx="6">
                  <c:v>5.7352102545061866E-2</c:v>
                </c:pt>
                <c:pt idx="7">
                  <c:v>6.9254782339440019E-2</c:v>
                </c:pt>
                <c:pt idx="8">
                  <c:v>0.1764035217985275</c:v>
                </c:pt>
                <c:pt idx="9">
                  <c:v>9.2856564607490408E-2</c:v>
                </c:pt>
                <c:pt idx="10">
                  <c:v>6.8328258128845437E-2</c:v>
                </c:pt>
                <c:pt idx="11">
                  <c:v>7.3507305276754822E-2</c:v>
                </c:pt>
                <c:pt idx="12">
                  <c:v>7.4237218162362062E-2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3C-4667-B5C6-E6070F260A3A}"/>
            </c:ext>
          </c:extLst>
        </c:ser>
        <c:ser>
          <c:idx val="6"/>
          <c:order val="6"/>
          <c:tx>
            <c:strRef>
              <c:f>'SCFA DM'!$H$33</c:f>
              <c:strCache>
                <c:ptCount val="1"/>
                <c:pt idx="0">
                  <c:v>Hexanoic Acid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'SCFA DM'!$A$34:$A$46</c:f>
              <c:strCache>
                <c:ptCount val="13"/>
                <c:pt idx="0">
                  <c:v>Beef Colostrum</c:v>
                </c:pt>
                <c:pt idx="1">
                  <c:v>Summit Dairy</c:v>
                </c:pt>
                <c:pt idx="2">
                  <c:v>Walkers Dairy</c:v>
                </c:pt>
                <c:pt idx="3">
                  <c:v>Elora Dairy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Powder</c:v>
                </c:pt>
                <c:pt idx="10">
                  <c:v>SCCL B - Powder</c:v>
                </c:pt>
                <c:pt idx="11">
                  <c:v>SCCL C - Powder</c:v>
                </c:pt>
                <c:pt idx="12">
                  <c:v>SCCL D - Powder</c:v>
                </c:pt>
              </c:strCache>
            </c:strRef>
          </c:cat>
          <c:val>
            <c:numRef>
              <c:f>'SCFA DM'!$H$34:$H$46</c:f>
              <c:numCache>
                <c:formatCode>0.00</c:formatCode>
                <c:ptCount val="13"/>
                <c:pt idx="0">
                  <c:v>1.2941185348885349</c:v>
                </c:pt>
                <c:pt idx="1">
                  <c:v>0.40439504745844318</c:v>
                </c:pt>
                <c:pt idx="2">
                  <c:v>0.23049383667854464</c:v>
                </c:pt>
                <c:pt idx="3">
                  <c:v>0.22450449231653927</c:v>
                </c:pt>
                <c:pt idx="4">
                  <c:v>0.18667330328647425</c:v>
                </c:pt>
                <c:pt idx="5">
                  <c:v>0.23760647161651269</c:v>
                </c:pt>
                <c:pt idx="6">
                  <c:v>0.25805966053291335</c:v>
                </c:pt>
                <c:pt idx="7">
                  <c:v>0.27681496908133413</c:v>
                </c:pt>
                <c:pt idx="8">
                  <c:v>0.41718663565457992</c:v>
                </c:pt>
                <c:pt idx="9">
                  <c:v>0.26704289291125954</c:v>
                </c:pt>
                <c:pt idx="10">
                  <c:v>0.23996461776722613</c:v>
                </c:pt>
                <c:pt idx="11">
                  <c:v>0.31274367874324688</c:v>
                </c:pt>
                <c:pt idx="12">
                  <c:v>0.27877016412257827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3C-4667-B5C6-E6070F260A3A}"/>
            </c:ext>
          </c:extLst>
        </c:ser>
        <c:ser>
          <c:idx val="7"/>
          <c:order val="7"/>
          <c:tx>
            <c:strRef>
              <c:f>'SCFA DM'!$I$33</c:f>
              <c:strCache>
                <c:ptCount val="1"/>
                <c:pt idx="0">
                  <c:v>Heptanoic Acid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'SCFA DM'!$A$34:$A$46</c:f>
              <c:strCache>
                <c:ptCount val="13"/>
                <c:pt idx="0">
                  <c:v>Beef Colostrum</c:v>
                </c:pt>
                <c:pt idx="1">
                  <c:v>Summit Dairy</c:v>
                </c:pt>
                <c:pt idx="2">
                  <c:v>Walkers Dairy</c:v>
                </c:pt>
                <c:pt idx="3">
                  <c:v>Elora Dairy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Powder</c:v>
                </c:pt>
                <c:pt idx="10">
                  <c:v>SCCL B - Powder</c:v>
                </c:pt>
                <c:pt idx="11">
                  <c:v>SCCL C - Powder</c:v>
                </c:pt>
                <c:pt idx="12">
                  <c:v>SCCL D - Powder</c:v>
                </c:pt>
              </c:strCache>
            </c:strRef>
          </c:cat>
          <c:val>
            <c:numRef>
              <c:f>'SCFA DM'!$I$34:$I$46</c:f>
              <c:numCache>
                <c:formatCode>0.00</c:formatCode>
                <c:ptCount val="13"/>
                <c:pt idx="0">
                  <c:v>2.574464830783294</c:v>
                </c:pt>
                <c:pt idx="1">
                  <c:v>0.99318571409691236</c:v>
                </c:pt>
                <c:pt idx="2">
                  <c:v>0.50055595384485663</c:v>
                </c:pt>
                <c:pt idx="3">
                  <c:v>0.33751855767987943</c:v>
                </c:pt>
                <c:pt idx="4">
                  <c:v>0.31907646666384848</c:v>
                </c:pt>
                <c:pt idx="5">
                  <c:v>0.26828376546099292</c:v>
                </c:pt>
                <c:pt idx="6">
                  <c:v>0.37896903839765173</c:v>
                </c:pt>
                <c:pt idx="7">
                  <c:v>0.30809165494586632</c:v>
                </c:pt>
                <c:pt idx="8">
                  <c:v>0.30256326368313713</c:v>
                </c:pt>
                <c:pt idx="9">
                  <c:v>0.16799615857478564</c:v>
                </c:pt>
                <c:pt idx="10">
                  <c:v>9.7810287011911065E-2</c:v>
                </c:pt>
                <c:pt idx="11">
                  <c:v>0.14965296508963724</c:v>
                </c:pt>
                <c:pt idx="12">
                  <c:v>0.10336980163289644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F3C-4667-B5C6-E6070F260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1396160"/>
        <c:axId val="1191394720"/>
      </c:barChart>
      <c:catAx>
        <c:axId val="119139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91394720"/>
        <c:crosses val="autoZero"/>
        <c:auto val="1"/>
        <c:lblAlgn val="ctr"/>
        <c:lblOffset val="100"/>
        <c:noMultiLvlLbl val="0"/>
      </c:catAx>
      <c:valAx>
        <c:axId val="11913947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Fatty</a:t>
                </a:r>
                <a:r>
                  <a:rPr lang="en-US" baseline="0"/>
                  <a:t> acid, mM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9139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8426940047110485"/>
          <c:y val="1.2656690409912782E-3"/>
          <c:w val="0.31573059952889498"/>
          <c:h val="0.368125039496134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50808984415699"/>
          <c:y val="2.0141904547557602E-2"/>
          <c:w val="0.80808549781938888"/>
          <c:h val="0.8635251158880410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'SCFA DM'!$B$33</c:f>
              <c:strCache>
                <c:ptCount val="1"/>
                <c:pt idx="0">
                  <c:v>Propionic Acid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'SCFA DM'!$A$34:$A$46</c:f>
              <c:strCache>
                <c:ptCount val="13"/>
                <c:pt idx="0">
                  <c:v>Beef Colostrum</c:v>
                </c:pt>
                <c:pt idx="1">
                  <c:v>Summit Dairy</c:v>
                </c:pt>
                <c:pt idx="2">
                  <c:v>Walkers Dairy</c:v>
                </c:pt>
                <c:pt idx="3">
                  <c:v>Elora Dairy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Powder</c:v>
                </c:pt>
                <c:pt idx="10">
                  <c:v>SCCL B - Powder</c:v>
                </c:pt>
                <c:pt idx="11">
                  <c:v>SCCL C - Powder</c:v>
                </c:pt>
                <c:pt idx="12">
                  <c:v>SCCL D - Powder</c:v>
                </c:pt>
              </c:strCache>
            </c:strRef>
          </c:cat>
          <c:val>
            <c:numRef>
              <c:f>'SCFA DM'!$B$34:$B$46</c:f>
              <c:numCache>
                <c:formatCode>0.00</c:formatCode>
                <c:ptCount val="13"/>
                <c:pt idx="0">
                  <c:v>0.1735832763059276</c:v>
                </c:pt>
                <c:pt idx="1">
                  <c:v>0.13021800762537883</c:v>
                </c:pt>
                <c:pt idx="2">
                  <c:v>0.1001482712549288</c:v>
                </c:pt>
                <c:pt idx="3">
                  <c:v>9.4551438719979147E-2</c:v>
                </c:pt>
                <c:pt idx="4">
                  <c:v>8.9427118975461919E-2</c:v>
                </c:pt>
                <c:pt idx="5">
                  <c:v>7.5919770586893476E-2</c:v>
                </c:pt>
                <c:pt idx="6">
                  <c:v>8.4408707270179545E-2</c:v>
                </c:pt>
                <c:pt idx="7">
                  <c:v>7.9936129305569134E-2</c:v>
                </c:pt>
                <c:pt idx="8">
                  <c:v>9.2001499006093779E-2</c:v>
                </c:pt>
                <c:pt idx="9">
                  <c:v>7.3899371069182387E-2</c:v>
                </c:pt>
                <c:pt idx="10">
                  <c:v>5.8273861895916837E-2</c:v>
                </c:pt>
                <c:pt idx="11">
                  <c:v>7.2823997132336171E-2</c:v>
                </c:pt>
                <c:pt idx="12">
                  <c:v>7.8885195685469423E-2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B-41FB-B2A5-2F42DC113970}"/>
            </c:ext>
          </c:extLst>
        </c:ser>
        <c:ser>
          <c:idx val="1"/>
          <c:order val="1"/>
          <c:tx>
            <c:strRef>
              <c:f>'SCFA DM'!$C$33</c:f>
              <c:strCache>
                <c:ptCount val="1"/>
                <c:pt idx="0">
                  <c:v>Isobutyric Acid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'SCFA DM'!$A$34:$A$46</c:f>
              <c:strCache>
                <c:ptCount val="13"/>
                <c:pt idx="0">
                  <c:v>Beef Colostrum</c:v>
                </c:pt>
                <c:pt idx="1">
                  <c:v>Summit Dairy</c:v>
                </c:pt>
                <c:pt idx="2">
                  <c:v>Walkers Dairy</c:v>
                </c:pt>
                <c:pt idx="3">
                  <c:v>Elora Dairy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Powder</c:v>
                </c:pt>
                <c:pt idx="10">
                  <c:v>SCCL B - Powder</c:v>
                </c:pt>
                <c:pt idx="11">
                  <c:v>SCCL C - Powder</c:v>
                </c:pt>
                <c:pt idx="12">
                  <c:v>SCCL D - Powder</c:v>
                </c:pt>
              </c:strCache>
            </c:strRef>
          </c:cat>
          <c:val>
            <c:numRef>
              <c:f>'SCFA DM'!$C$34:$C$46</c:f>
              <c:numCache>
                <c:formatCode>0.00</c:formatCode>
                <c:ptCount val="13"/>
                <c:pt idx="0">
                  <c:v>0.13053984851808578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2B-41FB-B2A5-2F42DC113970}"/>
            </c:ext>
          </c:extLst>
        </c:ser>
        <c:ser>
          <c:idx val="2"/>
          <c:order val="2"/>
          <c:tx>
            <c:strRef>
              <c:f>'SCFA DM'!$D$33</c:f>
              <c:strCache>
                <c:ptCount val="1"/>
                <c:pt idx="0">
                  <c:v>Butyric Acid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'SCFA DM'!$A$34:$A$46</c:f>
              <c:strCache>
                <c:ptCount val="13"/>
                <c:pt idx="0">
                  <c:v>Beef Colostrum</c:v>
                </c:pt>
                <c:pt idx="1">
                  <c:v>Summit Dairy</c:v>
                </c:pt>
                <c:pt idx="2">
                  <c:v>Walkers Dairy</c:v>
                </c:pt>
                <c:pt idx="3">
                  <c:v>Elora Dairy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Powder</c:v>
                </c:pt>
                <c:pt idx="10">
                  <c:v>SCCL B - Powder</c:v>
                </c:pt>
                <c:pt idx="11">
                  <c:v>SCCL C - Powder</c:v>
                </c:pt>
                <c:pt idx="12">
                  <c:v>SCCL D - Powder</c:v>
                </c:pt>
              </c:strCache>
            </c:strRef>
          </c:cat>
          <c:val>
            <c:numRef>
              <c:f>'SCFA DM'!$D$34:$D$46</c:f>
              <c:numCache>
                <c:formatCode>0.00</c:formatCode>
                <c:ptCount val="13"/>
                <c:pt idx="0">
                  <c:v>0.64313335384091574</c:v>
                </c:pt>
                <c:pt idx="1">
                  <c:v>0.41747602137895545</c:v>
                </c:pt>
                <c:pt idx="2">
                  <c:v>0.35454727851816992</c:v>
                </c:pt>
                <c:pt idx="3">
                  <c:v>0.42391971520277172</c:v>
                </c:pt>
                <c:pt idx="4">
                  <c:v>0.41708765300204087</c:v>
                </c:pt>
                <c:pt idx="5">
                  <c:v>0.49792002951321868</c:v>
                </c:pt>
                <c:pt idx="6">
                  <c:v>0.49807290170682178</c:v>
                </c:pt>
                <c:pt idx="7">
                  <c:v>0.57715802100992619</c:v>
                </c:pt>
                <c:pt idx="8">
                  <c:v>0.70590118900847498</c:v>
                </c:pt>
                <c:pt idx="9">
                  <c:v>0.66139700365692589</c:v>
                </c:pt>
                <c:pt idx="10">
                  <c:v>0.54977681313232418</c:v>
                </c:pt>
                <c:pt idx="11">
                  <c:v>0.66377127348798937</c:v>
                </c:pt>
                <c:pt idx="12">
                  <c:v>0.6262319364606499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2B-41FB-B2A5-2F42DC113970}"/>
            </c:ext>
          </c:extLst>
        </c:ser>
        <c:ser>
          <c:idx val="3"/>
          <c:order val="3"/>
          <c:tx>
            <c:strRef>
              <c:f>'SCFA DM'!$E$33</c:f>
              <c:strCache>
                <c:ptCount val="1"/>
                <c:pt idx="0">
                  <c:v>Isovaleric Acid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'SCFA DM'!$A$34:$A$46</c:f>
              <c:strCache>
                <c:ptCount val="13"/>
                <c:pt idx="0">
                  <c:v>Beef Colostrum</c:v>
                </c:pt>
                <c:pt idx="1">
                  <c:v>Summit Dairy</c:v>
                </c:pt>
                <c:pt idx="2">
                  <c:v>Walkers Dairy</c:v>
                </c:pt>
                <c:pt idx="3">
                  <c:v>Elora Dairy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Powder</c:v>
                </c:pt>
                <c:pt idx="10">
                  <c:v>SCCL B - Powder</c:v>
                </c:pt>
                <c:pt idx="11">
                  <c:v>SCCL C - Powder</c:v>
                </c:pt>
                <c:pt idx="12">
                  <c:v>SCCL D - Powder</c:v>
                </c:pt>
              </c:strCache>
            </c:strRef>
          </c:cat>
          <c:val>
            <c:numRef>
              <c:f>'SCFA DM'!$E$34:$E$46</c:f>
              <c:numCache>
                <c:formatCode>0.00</c:formatCode>
                <c:ptCount val="13"/>
                <c:pt idx="0">
                  <c:v>0.12763473387585531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2B-41FB-B2A5-2F42DC113970}"/>
            </c:ext>
          </c:extLst>
        </c:ser>
        <c:ser>
          <c:idx val="4"/>
          <c:order val="4"/>
          <c:tx>
            <c:strRef>
              <c:f>'SCFA DM'!$F$33</c:f>
              <c:strCache>
                <c:ptCount val="1"/>
                <c:pt idx="0">
                  <c:v>Valeric Acid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'SCFA DM'!$A$34:$A$46</c:f>
              <c:strCache>
                <c:ptCount val="13"/>
                <c:pt idx="0">
                  <c:v>Beef Colostrum</c:v>
                </c:pt>
                <c:pt idx="1">
                  <c:v>Summit Dairy</c:v>
                </c:pt>
                <c:pt idx="2">
                  <c:v>Walkers Dairy</c:v>
                </c:pt>
                <c:pt idx="3">
                  <c:v>Elora Dairy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Powder</c:v>
                </c:pt>
                <c:pt idx="10">
                  <c:v>SCCL B - Powder</c:v>
                </c:pt>
                <c:pt idx="11">
                  <c:v>SCCL C - Powder</c:v>
                </c:pt>
                <c:pt idx="12">
                  <c:v>SCCL D - Powder</c:v>
                </c:pt>
              </c:strCache>
            </c:strRef>
          </c:cat>
          <c:val>
            <c:numRef>
              <c:f>'SCFA DM'!$F$34:$F$46</c:f>
              <c:numCache>
                <c:formatCode>0.00</c:formatCode>
                <c:ptCount val="13"/>
                <c:pt idx="0">
                  <c:v>0.57431489874329322</c:v>
                </c:pt>
                <c:pt idx="1">
                  <c:v>0.19911047454822139</c:v>
                </c:pt>
                <c:pt idx="2">
                  <c:v>0.10866239066567882</c:v>
                </c:pt>
                <c:pt idx="3">
                  <c:v>8.3266241774182917E-2</c:v>
                </c:pt>
                <c:pt idx="4">
                  <c:v>7.1195895686887931E-2</c:v>
                </c:pt>
                <c:pt idx="5">
                  <c:v>6.7262069009627154E-2</c:v>
                </c:pt>
                <c:pt idx="6">
                  <c:v>7.4641707108858382E-2</c:v>
                </c:pt>
                <c:pt idx="7">
                  <c:v>6.5063861365961942E-2</c:v>
                </c:pt>
                <c:pt idx="8">
                  <c:v>9.9017034588506997E-2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2B-41FB-B2A5-2F42DC113970}"/>
            </c:ext>
          </c:extLst>
        </c:ser>
        <c:ser>
          <c:idx val="5"/>
          <c:order val="5"/>
          <c:tx>
            <c:strRef>
              <c:f>'SCFA DM'!$G$33</c:f>
              <c:strCache>
                <c:ptCount val="1"/>
                <c:pt idx="0">
                  <c:v>Isocaproic Acid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'SCFA DM'!$A$34:$A$46</c:f>
              <c:strCache>
                <c:ptCount val="13"/>
                <c:pt idx="0">
                  <c:v>Beef Colostrum</c:v>
                </c:pt>
                <c:pt idx="1">
                  <c:v>Summit Dairy</c:v>
                </c:pt>
                <c:pt idx="2">
                  <c:v>Walkers Dairy</c:v>
                </c:pt>
                <c:pt idx="3">
                  <c:v>Elora Dairy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Powder</c:v>
                </c:pt>
                <c:pt idx="10">
                  <c:v>SCCL B - Powder</c:v>
                </c:pt>
                <c:pt idx="11">
                  <c:v>SCCL C - Powder</c:v>
                </c:pt>
                <c:pt idx="12">
                  <c:v>SCCL D - Powder</c:v>
                </c:pt>
              </c:strCache>
            </c:strRef>
          </c:cat>
          <c:val>
            <c:numRef>
              <c:f>'SCFA DM'!$G$34:$G$46</c:f>
              <c:numCache>
                <c:formatCode>0.00</c:formatCode>
                <c:ptCount val="13"/>
                <c:pt idx="0">
                  <c:v>0.7876024258073846</c:v>
                </c:pt>
                <c:pt idx="1">
                  <c:v>0.20760752091644663</c:v>
                </c:pt>
                <c:pt idx="2">
                  <c:v>8.6214470360305384E-2</c:v>
                </c:pt>
                <c:pt idx="3">
                  <c:v>7.5056793434105554E-2</c:v>
                </c:pt>
                <c:pt idx="4">
                  <c:v>5.7424240025991447E-2</c:v>
                </c:pt>
                <c:pt idx="5">
                  <c:v>6.1023804250063152E-2</c:v>
                </c:pt>
                <c:pt idx="6">
                  <c:v>5.7352102545061866E-2</c:v>
                </c:pt>
                <c:pt idx="7">
                  <c:v>6.9254782339440019E-2</c:v>
                </c:pt>
                <c:pt idx="8">
                  <c:v>0.1764035217985275</c:v>
                </c:pt>
                <c:pt idx="9">
                  <c:v>9.2856564607490408E-2</c:v>
                </c:pt>
                <c:pt idx="10">
                  <c:v>6.8328258128845437E-2</c:v>
                </c:pt>
                <c:pt idx="11">
                  <c:v>7.3507305276754822E-2</c:v>
                </c:pt>
                <c:pt idx="12">
                  <c:v>7.4237218162362062E-2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2B-41FB-B2A5-2F42DC113970}"/>
            </c:ext>
          </c:extLst>
        </c:ser>
        <c:ser>
          <c:idx val="6"/>
          <c:order val="6"/>
          <c:tx>
            <c:strRef>
              <c:f>'SCFA DM'!$H$33</c:f>
              <c:strCache>
                <c:ptCount val="1"/>
                <c:pt idx="0">
                  <c:v>Hexanoic Acid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'SCFA DM'!$A$34:$A$46</c:f>
              <c:strCache>
                <c:ptCount val="13"/>
                <c:pt idx="0">
                  <c:v>Beef Colostrum</c:v>
                </c:pt>
                <c:pt idx="1">
                  <c:v>Summit Dairy</c:v>
                </c:pt>
                <c:pt idx="2">
                  <c:v>Walkers Dairy</c:v>
                </c:pt>
                <c:pt idx="3">
                  <c:v>Elora Dairy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Powder</c:v>
                </c:pt>
                <c:pt idx="10">
                  <c:v>SCCL B - Powder</c:v>
                </c:pt>
                <c:pt idx="11">
                  <c:v>SCCL C - Powder</c:v>
                </c:pt>
                <c:pt idx="12">
                  <c:v>SCCL D - Powder</c:v>
                </c:pt>
              </c:strCache>
            </c:strRef>
          </c:cat>
          <c:val>
            <c:numRef>
              <c:f>'SCFA DM'!$H$34:$H$46</c:f>
              <c:numCache>
                <c:formatCode>0.00</c:formatCode>
                <c:ptCount val="13"/>
                <c:pt idx="0">
                  <c:v>1.2941185348885349</c:v>
                </c:pt>
                <c:pt idx="1">
                  <c:v>0.40439504745844318</c:v>
                </c:pt>
                <c:pt idx="2">
                  <c:v>0.23049383667854464</c:v>
                </c:pt>
                <c:pt idx="3">
                  <c:v>0.22450449231653927</c:v>
                </c:pt>
                <c:pt idx="4">
                  <c:v>0.18667330328647425</c:v>
                </c:pt>
                <c:pt idx="5">
                  <c:v>0.23760647161651269</c:v>
                </c:pt>
                <c:pt idx="6">
                  <c:v>0.25805966053291335</c:v>
                </c:pt>
                <c:pt idx="7">
                  <c:v>0.27681496908133413</c:v>
                </c:pt>
                <c:pt idx="8">
                  <c:v>0.41718663565457992</c:v>
                </c:pt>
                <c:pt idx="9">
                  <c:v>0.26704289291125954</c:v>
                </c:pt>
                <c:pt idx="10">
                  <c:v>0.23996461776722613</c:v>
                </c:pt>
                <c:pt idx="11">
                  <c:v>0.31274367874324688</c:v>
                </c:pt>
                <c:pt idx="12">
                  <c:v>0.27877016412257827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2B-41FB-B2A5-2F42DC113970}"/>
            </c:ext>
          </c:extLst>
        </c:ser>
        <c:ser>
          <c:idx val="7"/>
          <c:order val="7"/>
          <c:tx>
            <c:strRef>
              <c:f>'SCFA DM'!$I$33</c:f>
              <c:strCache>
                <c:ptCount val="1"/>
                <c:pt idx="0">
                  <c:v>Heptanoic Acid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'SCFA DM'!$A$34:$A$46</c:f>
              <c:strCache>
                <c:ptCount val="13"/>
                <c:pt idx="0">
                  <c:v>Beef Colostrum</c:v>
                </c:pt>
                <c:pt idx="1">
                  <c:v>Summit Dairy</c:v>
                </c:pt>
                <c:pt idx="2">
                  <c:v>Walkers Dairy</c:v>
                </c:pt>
                <c:pt idx="3">
                  <c:v>Elora Dairy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Powder</c:v>
                </c:pt>
                <c:pt idx="10">
                  <c:v>SCCL B - Powder</c:v>
                </c:pt>
                <c:pt idx="11">
                  <c:v>SCCL C - Powder</c:v>
                </c:pt>
                <c:pt idx="12">
                  <c:v>SCCL D - Powder</c:v>
                </c:pt>
              </c:strCache>
            </c:strRef>
          </c:cat>
          <c:val>
            <c:numRef>
              <c:f>'SCFA DM'!$I$34:$I$46</c:f>
              <c:numCache>
                <c:formatCode>0.00</c:formatCode>
                <c:ptCount val="13"/>
                <c:pt idx="0">
                  <c:v>2.574464830783294</c:v>
                </c:pt>
                <c:pt idx="1">
                  <c:v>0.99318571409691236</c:v>
                </c:pt>
                <c:pt idx="2">
                  <c:v>0.50055595384485663</c:v>
                </c:pt>
                <c:pt idx="3">
                  <c:v>0.33751855767987943</c:v>
                </c:pt>
                <c:pt idx="4">
                  <c:v>0.31907646666384848</c:v>
                </c:pt>
                <c:pt idx="5">
                  <c:v>0.26828376546099292</c:v>
                </c:pt>
                <c:pt idx="6">
                  <c:v>0.37896903839765173</c:v>
                </c:pt>
                <c:pt idx="7">
                  <c:v>0.30809165494586632</c:v>
                </c:pt>
                <c:pt idx="8">
                  <c:v>0.30256326368313713</c:v>
                </c:pt>
                <c:pt idx="9">
                  <c:v>0.16799615857478564</c:v>
                </c:pt>
                <c:pt idx="10">
                  <c:v>9.7810287011911065E-2</c:v>
                </c:pt>
                <c:pt idx="11">
                  <c:v>0.14965296508963724</c:v>
                </c:pt>
                <c:pt idx="12">
                  <c:v>0.10336980163289644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52B-41FB-B2A5-2F42DC113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0553711"/>
        <c:axId val="1010559951"/>
      </c:barChart>
      <c:catAx>
        <c:axId val="1010553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559951"/>
        <c:crosses val="autoZero"/>
        <c:auto val="1"/>
        <c:lblAlgn val="ctr"/>
        <c:lblOffset val="100"/>
        <c:noMultiLvlLbl val="0"/>
      </c:catAx>
      <c:valAx>
        <c:axId val="101055995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55371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7837189169879285"/>
          <c:y val="5.6069612267616559E-2"/>
          <c:w val="0.20534099400145869"/>
          <c:h val="0.552078790170808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742153024529876E-2"/>
          <c:y val="3.1349963272230878E-2"/>
          <c:w val="0.96544455479251512"/>
          <c:h val="0.872196532179203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'MCFA and LCFA DM'!$C$38</c:f>
              <c:strCache>
                <c:ptCount val="1"/>
                <c:pt idx="0">
                  <c:v>6:00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DM'!$C$39:$C$51</c:f>
              <c:numCache>
                <c:formatCode>General</c:formatCode>
                <c:ptCount val="13"/>
                <c:pt idx="0">
                  <c:v>21.978670124518501</c:v>
                </c:pt>
                <c:pt idx="1">
                  <c:v>27.723094380517502</c:v>
                </c:pt>
                <c:pt idx="2">
                  <c:v>28.259919496051701</c:v>
                </c:pt>
                <c:pt idx="3">
                  <c:v>28.445588330455202</c:v>
                </c:pt>
                <c:pt idx="4">
                  <c:v>29.643640156880899</c:v>
                </c:pt>
                <c:pt idx="5">
                  <c:v>35.111284876529901</c:v>
                </c:pt>
                <c:pt idx="6">
                  <c:v>36.980779975632899</c:v>
                </c:pt>
                <c:pt idx="7">
                  <c:v>44.674447776807497</c:v>
                </c:pt>
                <c:pt idx="8">
                  <c:v>40.346708453606098</c:v>
                </c:pt>
                <c:pt idx="9">
                  <c:v>1140.89974695251</c:v>
                </c:pt>
                <c:pt idx="10">
                  <c:v>1895.92109078269</c:v>
                </c:pt>
                <c:pt idx="11">
                  <c:v>1486.3868800243099</c:v>
                </c:pt>
                <c:pt idx="12">
                  <c:v>599.59684512253102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40-44FB-B129-62CF2E27A903}"/>
            </c:ext>
          </c:extLst>
        </c:ser>
        <c:ser>
          <c:idx val="1"/>
          <c:order val="1"/>
          <c:tx>
            <c:strRef>
              <c:f>'MCFA and LCFA DM'!$D$38</c:f>
              <c:strCache>
                <c:ptCount val="1"/>
                <c:pt idx="0">
                  <c:v>8:00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DM'!$D$39:$D$51</c:f>
              <c:numCache>
                <c:formatCode>General</c:formatCode>
                <c:ptCount val="13"/>
                <c:pt idx="0">
                  <c:v>34.263176819115401</c:v>
                </c:pt>
                <c:pt idx="1">
                  <c:v>266.83947270449301</c:v>
                </c:pt>
                <c:pt idx="2">
                  <c:v>104.79887642419099</c:v>
                </c:pt>
                <c:pt idx="3">
                  <c:v>159.48659539078301</c:v>
                </c:pt>
                <c:pt idx="4">
                  <c:v>25.1535005448828</c:v>
                </c:pt>
                <c:pt idx="5">
                  <c:v>170.78401672952799</c:v>
                </c:pt>
                <c:pt idx="6">
                  <c:v>292.87136430078198</c:v>
                </c:pt>
                <c:pt idx="7">
                  <c:v>374.83819529066398</c:v>
                </c:pt>
                <c:pt idx="8">
                  <c:v>185.95438401142201</c:v>
                </c:pt>
                <c:pt idx="9">
                  <c:v>2133.30143160326</c:v>
                </c:pt>
                <c:pt idx="10">
                  <c:v>2036.84327112346</c:v>
                </c:pt>
                <c:pt idx="11">
                  <c:v>2732.2077603893099</c:v>
                </c:pt>
                <c:pt idx="12">
                  <c:v>3124.6395718529302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40-44FB-B129-62CF2E27A903}"/>
            </c:ext>
          </c:extLst>
        </c:ser>
        <c:ser>
          <c:idx val="2"/>
          <c:order val="2"/>
          <c:tx>
            <c:strRef>
              <c:f>'MCFA and LCFA DM'!$E$38</c:f>
              <c:strCache>
                <c:ptCount val="1"/>
                <c:pt idx="0">
                  <c:v>10:00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DM'!$E$39:$E$51</c:f>
              <c:numCache>
                <c:formatCode>General</c:formatCode>
                <c:ptCount val="13"/>
                <c:pt idx="0">
                  <c:v>478.232313334389</c:v>
                </c:pt>
                <c:pt idx="1">
                  <c:v>1304.5985523367699</c:v>
                </c:pt>
                <c:pt idx="2">
                  <c:v>874.32894600160103</c:v>
                </c:pt>
                <c:pt idx="3">
                  <c:v>1497.7184475628801</c:v>
                </c:pt>
                <c:pt idx="4">
                  <c:v>150.615848150034</c:v>
                </c:pt>
                <c:pt idx="5">
                  <c:v>1441.5592994660699</c:v>
                </c:pt>
                <c:pt idx="6">
                  <c:v>1769.12768782181</c:v>
                </c:pt>
                <c:pt idx="7">
                  <c:v>2139.9238470938499</c:v>
                </c:pt>
                <c:pt idx="8">
                  <c:v>2366.6074235839601</c:v>
                </c:pt>
                <c:pt idx="9">
                  <c:v>7633.1625927060804</c:v>
                </c:pt>
                <c:pt idx="10">
                  <c:v>7252.3146355563304</c:v>
                </c:pt>
                <c:pt idx="11">
                  <c:v>9801.4637617849603</c:v>
                </c:pt>
                <c:pt idx="12">
                  <c:v>11735.780022414099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40-44FB-B129-62CF2E27A903}"/>
            </c:ext>
          </c:extLst>
        </c:ser>
        <c:ser>
          <c:idx val="3"/>
          <c:order val="3"/>
          <c:tx>
            <c:strRef>
              <c:f>'MCFA and LCFA DM'!$F$38</c:f>
              <c:strCache>
                <c:ptCount val="1"/>
                <c:pt idx="0">
                  <c:v>12:00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DM'!$F$39:$F$51</c:f>
              <c:numCache>
                <c:formatCode>General</c:formatCode>
                <c:ptCount val="13"/>
                <c:pt idx="0">
                  <c:v>1656.3675272590201</c:v>
                </c:pt>
                <c:pt idx="1">
                  <c:v>2722.1527706813099</c:v>
                </c:pt>
                <c:pt idx="2">
                  <c:v>1959.38121774758</c:v>
                </c:pt>
                <c:pt idx="3">
                  <c:v>3326.9278082574301</c:v>
                </c:pt>
                <c:pt idx="4">
                  <c:v>366.40411105674099</c:v>
                </c:pt>
                <c:pt idx="5">
                  <c:v>2947.0591218764998</c:v>
                </c:pt>
                <c:pt idx="6">
                  <c:v>3269.8497978177102</c:v>
                </c:pt>
                <c:pt idx="7">
                  <c:v>3623.7918595051801</c:v>
                </c:pt>
                <c:pt idx="8">
                  <c:v>4099.11905292347</c:v>
                </c:pt>
                <c:pt idx="9">
                  <c:v>13667.7073256941</c:v>
                </c:pt>
                <c:pt idx="10">
                  <c:v>12549.2777400584</c:v>
                </c:pt>
                <c:pt idx="11">
                  <c:v>15392.5651797225</c:v>
                </c:pt>
                <c:pt idx="12">
                  <c:v>17237.934932680098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40-44FB-B129-62CF2E27A903}"/>
            </c:ext>
          </c:extLst>
        </c:ser>
        <c:ser>
          <c:idx val="4"/>
          <c:order val="4"/>
          <c:tx>
            <c:strRef>
              <c:f>'MCFA and LCFA DM'!$G$38</c:f>
              <c:strCache>
                <c:ptCount val="1"/>
                <c:pt idx="0">
                  <c:v>14:00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DM'!$G$39:$G$51</c:f>
              <c:numCache>
                <c:formatCode>General</c:formatCode>
                <c:ptCount val="13"/>
                <c:pt idx="0">
                  <c:v>10669.5454119475</c:v>
                </c:pt>
                <c:pt idx="1">
                  <c:v>14694.140365740701</c:v>
                </c:pt>
                <c:pt idx="2">
                  <c:v>10772.536595379701</c:v>
                </c:pt>
                <c:pt idx="3">
                  <c:v>17693.197528660501</c:v>
                </c:pt>
                <c:pt idx="4">
                  <c:v>2058.48924736458</c:v>
                </c:pt>
                <c:pt idx="5">
                  <c:v>15121.9580253598</c:v>
                </c:pt>
                <c:pt idx="6">
                  <c:v>16150.342657957501</c:v>
                </c:pt>
                <c:pt idx="7">
                  <c:v>16875.6094939953</c:v>
                </c:pt>
                <c:pt idx="8">
                  <c:v>17788.5042320701</c:v>
                </c:pt>
                <c:pt idx="9">
                  <c:v>68741.926181857707</c:v>
                </c:pt>
                <c:pt idx="10">
                  <c:v>61686.545848783702</c:v>
                </c:pt>
                <c:pt idx="11">
                  <c:v>70845.772200051302</c:v>
                </c:pt>
                <c:pt idx="12">
                  <c:v>74344.790784674595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40-44FB-B129-62CF2E27A903}"/>
            </c:ext>
          </c:extLst>
        </c:ser>
        <c:ser>
          <c:idx val="5"/>
          <c:order val="5"/>
          <c:tx>
            <c:strRef>
              <c:f>'MCFA and LCFA DM'!$H$38</c:f>
              <c:strCache>
                <c:ptCount val="1"/>
                <c:pt idx="0">
                  <c:v>14:1c9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DM'!$H$39:$H$51</c:f>
              <c:numCache>
                <c:formatCode>General</c:formatCode>
                <c:ptCount val="13"/>
                <c:pt idx="0">
                  <c:v>800.37682115947496</c:v>
                </c:pt>
                <c:pt idx="1">
                  <c:v>1080.4128797819999</c:v>
                </c:pt>
                <c:pt idx="2">
                  <c:v>769.97225892940901</c:v>
                </c:pt>
                <c:pt idx="3">
                  <c:v>1403.44045232145</c:v>
                </c:pt>
                <c:pt idx="4">
                  <c:v>133.48356788289601</c:v>
                </c:pt>
                <c:pt idx="5">
                  <c:v>1121.61319455788</c:v>
                </c:pt>
                <c:pt idx="6">
                  <c:v>1180.4613746729401</c:v>
                </c:pt>
                <c:pt idx="7">
                  <c:v>1212.38026602797</c:v>
                </c:pt>
                <c:pt idx="8">
                  <c:v>1207.0057385402999</c:v>
                </c:pt>
                <c:pt idx="9">
                  <c:v>5072.4764939904398</c:v>
                </c:pt>
                <c:pt idx="10">
                  <c:v>4487.4484711068999</c:v>
                </c:pt>
                <c:pt idx="11">
                  <c:v>5079.78433120925</c:v>
                </c:pt>
                <c:pt idx="12">
                  <c:v>5050.0854534608097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40-44FB-B129-62CF2E27A903}"/>
            </c:ext>
          </c:extLst>
        </c:ser>
        <c:ser>
          <c:idx val="6"/>
          <c:order val="6"/>
          <c:tx>
            <c:strRef>
              <c:f>'MCFA and LCFA DM'!$I$38</c:f>
              <c:strCache>
                <c:ptCount val="1"/>
                <c:pt idx="0">
                  <c:v>15:00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DM'!$I$39:$I$51</c:f>
              <c:numCache>
                <c:formatCode>General</c:formatCode>
                <c:ptCount val="13"/>
                <c:pt idx="0">
                  <c:v>898.61362709102798</c:v>
                </c:pt>
                <c:pt idx="1">
                  <c:v>986.62703952315303</c:v>
                </c:pt>
                <c:pt idx="2">
                  <c:v>732.98914948934203</c:v>
                </c:pt>
                <c:pt idx="3">
                  <c:v>1022.00341114172</c:v>
                </c:pt>
                <c:pt idx="4">
                  <c:v>148.436168726734</c:v>
                </c:pt>
                <c:pt idx="5">
                  <c:v>1036.0994410999299</c:v>
                </c:pt>
                <c:pt idx="6">
                  <c:v>1163.5353588727201</c:v>
                </c:pt>
                <c:pt idx="7">
                  <c:v>1286.3037214461599</c:v>
                </c:pt>
                <c:pt idx="8">
                  <c:v>1479.77878232648</c:v>
                </c:pt>
                <c:pt idx="9">
                  <c:v>4765.0673955060201</c:v>
                </c:pt>
                <c:pt idx="10">
                  <c:v>4467.1880937416099</c:v>
                </c:pt>
                <c:pt idx="11">
                  <c:v>5433.3157337504199</c:v>
                </c:pt>
                <c:pt idx="12">
                  <c:v>6147.7651208765801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40-44FB-B129-62CF2E27A903}"/>
            </c:ext>
          </c:extLst>
        </c:ser>
        <c:ser>
          <c:idx val="7"/>
          <c:order val="7"/>
          <c:tx>
            <c:strRef>
              <c:f>'MCFA and LCFA DM'!$J$38</c:f>
              <c:strCache>
                <c:ptCount val="1"/>
                <c:pt idx="0">
                  <c:v>17:00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DM'!$J$39:$J$51</c:f>
              <c:numCache>
                <c:formatCode>General</c:formatCode>
                <c:ptCount val="13"/>
                <c:pt idx="0">
                  <c:v>733.03053999794895</c:v>
                </c:pt>
                <c:pt idx="1">
                  <c:v>1110.32840687568</c:v>
                </c:pt>
                <c:pt idx="2">
                  <c:v>676.42989615034298</c:v>
                </c:pt>
                <c:pt idx="3">
                  <c:v>955.64165054611306</c:v>
                </c:pt>
                <c:pt idx="4">
                  <c:v>184.00879032452099</c:v>
                </c:pt>
                <c:pt idx="5">
                  <c:v>1090.88800164852</c:v>
                </c:pt>
                <c:pt idx="6">
                  <c:v>1214.7000118615399</c:v>
                </c:pt>
                <c:pt idx="7">
                  <c:v>1364.7002756591401</c:v>
                </c:pt>
                <c:pt idx="8">
                  <c:v>1615.2843851061</c:v>
                </c:pt>
                <c:pt idx="9">
                  <c:v>4865.3865744341501</c:v>
                </c:pt>
                <c:pt idx="10">
                  <c:v>4539.5199416140904</c:v>
                </c:pt>
                <c:pt idx="11">
                  <c:v>5670.8600277936002</c:v>
                </c:pt>
                <c:pt idx="12">
                  <c:v>6625.4568308914004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640-44FB-B129-62CF2E27A903}"/>
            </c:ext>
          </c:extLst>
        </c:ser>
        <c:ser>
          <c:idx val="8"/>
          <c:order val="8"/>
          <c:tx>
            <c:strRef>
              <c:f>'MCFA and LCFA DM'!$K$38</c:f>
              <c:strCache>
                <c:ptCount val="1"/>
                <c:pt idx="0">
                  <c:v>18:00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DM'!$K$39:$K$51</c:f>
              <c:numCache>
                <c:formatCode>General</c:formatCode>
                <c:ptCount val="13"/>
                <c:pt idx="0">
                  <c:v>4415.7711228579901</c:v>
                </c:pt>
                <c:pt idx="1">
                  <c:v>8760.9726394441604</c:v>
                </c:pt>
                <c:pt idx="2">
                  <c:v>7309.1006761400804</c:v>
                </c:pt>
                <c:pt idx="3">
                  <c:v>8564.2080848017795</c:v>
                </c:pt>
                <c:pt idx="4">
                  <c:v>1451.35631097034</c:v>
                </c:pt>
                <c:pt idx="5">
                  <c:v>10763.854334723001</c:v>
                </c:pt>
                <c:pt idx="6">
                  <c:v>12194.8375067092</c:v>
                </c:pt>
                <c:pt idx="7">
                  <c:v>14283.4933427093</c:v>
                </c:pt>
                <c:pt idx="8">
                  <c:v>18805.721497483901</c:v>
                </c:pt>
                <c:pt idx="9">
                  <c:v>49556.747816918898</c:v>
                </c:pt>
                <c:pt idx="10">
                  <c:v>46807.345512371401</c:v>
                </c:pt>
                <c:pt idx="11">
                  <c:v>61396.301590459101</c:v>
                </c:pt>
                <c:pt idx="12">
                  <c:v>78410.270906108504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40-44FB-B129-62CF2E27A903}"/>
            </c:ext>
          </c:extLst>
        </c:ser>
        <c:ser>
          <c:idx val="9"/>
          <c:order val="9"/>
          <c:tx>
            <c:strRef>
              <c:f>'MCFA and LCFA DM'!$L$38</c:f>
              <c:strCache>
                <c:ptCount val="1"/>
                <c:pt idx="0">
                  <c:v>18:2n6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DM'!$L$39:$L$51</c:f>
              <c:numCache>
                <c:formatCode>General</c:formatCode>
                <c:ptCount val="13"/>
                <c:pt idx="0">
                  <c:v>1504.0474937710601</c:v>
                </c:pt>
                <c:pt idx="1">
                  <c:v>2845.4999077897601</c:v>
                </c:pt>
                <c:pt idx="2">
                  <c:v>2293.2341785081899</c:v>
                </c:pt>
                <c:pt idx="3">
                  <c:v>3146.64765414556</c:v>
                </c:pt>
                <c:pt idx="4">
                  <c:v>508.73717739823599</c:v>
                </c:pt>
                <c:pt idx="5">
                  <c:v>3381.8351986832399</c:v>
                </c:pt>
                <c:pt idx="6">
                  <c:v>3569.8506051373702</c:v>
                </c:pt>
                <c:pt idx="7">
                  <c:v>3854.8768184569299</c:v>
                </c:pt>
                <c:pt idx="8">
                  <c:v>4415.9006351384096</c:v>
                </c:pt>
                <c:pt idx="9">
                  <c:v>15188.9069882975</c:v>
                </c:pt>
                <c:pt idx="10">
                  <c:v>13488.9090191996</c:v>
                </c:pt>
                <c:pt idx="11">
                  <c:v>16117.0072775559</c:v>
                </c:pt>
                <c:pt idx="12">
                  <c:v>18116.458158286801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640-44FB-B129-62CF2E27A903}"/>
            </c:ext>
          </c:extLst>
        </c:ser>
        <c:ser>
          <c:idx val="10"/>
          <c:order val="10"/>
          <c:tx>
            <c:strRef>
              <c:f>'MCFA and LCFA DM'!$M$38</c:f>
              <c:strCache>
                <c:ptCount val="1"/>
                <c:pt idx="0">
                  <c:v>18:3n6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DM'!$M$39:$M$51</c:f>
              <c:numCache>
                <c:formatCode>General</c:formatCode>
                <c:ptCount val="13"/>
                <c:pt idx="0">
                  <c:v>57.105294698525697</c:v>
                </c:pt>
                <c:pt idx="1">
                  <c:v>81.143508991961198</c:v>
                </c:pt>
                <c:pt idx="2">
                  <c:v>79.955874648146406</c:v>
                </c:pt>
                <c:pt idx="3">
                  <c:v>86.293268692535904</c:v>
                </c:pt>
                <c:pt idx="4">
                  <c:v>15.8244726131585</c:v>
                </c:pt>
                <c:pt idx="5">
                  <c:v>104.798176219545</c:v>
                </c:pt>
                <c:pt idx="6">
                  <c:v>114.943034570587</c:v>
                </c:pt>
                <c:pt idx="7">
                  <c:v>136.39648796664</c:v>
                </c:pt>
                <c:pt idx="8">
                  <c:v>147.47187990880701</c:v>
                </c:pt>
                <c:pt idx="9">
                  <c:v>455.90716078618101</c:v>
                </c:pt>
                <c:pt idx="10">
                  <c:v>441.22599595512798</c:v>
                </c:pt>
                <c:pt idx="11">
                  <c:v>465.58210580453903</c:v>
                </c:pt>
                <c:pt idx="12">
                  <c:v>494.28790555196002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640-44FB-B129-62CF2E27A903}"/>
            </c:ext>
          </c:extLst>
        </c:ser>
        <c:ser>
          <c:idx val="11"/>
          <c:order val="11"/>
          <c:tx>
            <c:strRef>
              <c:f>'MCFA and LCFA DM'!$N$38</c:f>
              <c:strCache>
                <c:ptCount val="1"/>
                <c:pt idx="0">
                  <c:v>18:3n3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DM'!$N$39:$N$51</c:f>
              <c:numCache>
                <c:formatCode>General</c:formatCode>
                <c:ptCount val="13"/>
                <c:pt idx="0">
                  <c:v>526.15366373088398</c:v>
                </c:pt>
                <c:pt idx="1">
                  <c:v>442.21899398855197</c:v>
                </c:pt>
                <c:pt idx="2">
                  <c:v>353.06809805664602</c:v>
                </c:pt>
                <c:pt idx="3">
                  <c:v>488.274345888705</c:v>
                </c:pt>
                <c:pt idx="4">
                  <c:v>77.204245173288399</c:v>
                </c:pt>
                <c:pt idx="5">
                  <c:v>663.94904023107995</c:v>
                </c:pt>
                <c:pt idx="6">
                  <c:v>662.16625448740695</c:v>
                </c:pt>
                <c:pt idx="7">
                  <c:v>734.42893629362595</c:v>
                </c:pt>
                <c:pt idx="8">
                  <c:v>829.50435746448602</c:v>
                </c:pt>
                <c:pt idx="9">
                  <c:v>3011.1604035639398</c:v>
                </c:pt>
                <c:pt idx="10">
                  <c:v>2410.5346758609699</c:v>
                </c:pt>
                <c:pt idx="11">
                  <c:v>2964.0841136731001</c:v>
                </c:pt>
                <c:pt idx="12">
                  <c:v>3184.88387512078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640-44FB-B129-62CF2E27A903}"/>
            </c:ext>
          </c:extLst>
        </c:ser>
        <c:ser>
          <c:idx val="12"/>
          <c:order val="12"/>
          <c:tx>
            <c:strRef>
              <c:f>'MCFA and LCFA DM'!$O$38</c:f>
              <c:strCache>
                <c:ptCount val="1"/>
                <c:pt idx="0">
                  <c:v>20:00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DM'!$O$39:$O$51</c:f>
              <c:numCache>
                <c:formatCode>General</c:formatCode>
                <c:ptCount val="13"/>
                <c:pt idx="0">
                  <c:v>130.69459199043999</c:v>
                </c:pt>
                <c:pt idx="1">
                  <c:v>193.42391694986199</c:v>
                </c:pt>
                <c:pt idx="2">
                  <c:v>173.257827920317</c:v>
                </c:pt>
                <c:pt idx="3">
                  <c:v>189.387732831715</c:v>
                </c:pt>
                <c:pt idx="4">
                  <c:v>34.526122065072997</c:v>
                </c:pt>
                <c:pt idx="5">
                  <c:v>220.309920639974</c:v>
                </c:pt>
                <c:pt idx="6">
                  <c:v>259.68611514095602</c:v>
                </c:pt>
                <c:pt idx="7">
                  <c:v>295.57516444097598</c:v>
                </c:pt>
                <c:pt idx="8">
                  <c:v>342.48097076790401</c:v>
                </c:pt>
                <c:pt idx="9">
                  <c:v>986.063352723241</c:v>
                </c:pt>
                <c:pt idx="10">
                  <c:v>996.36033576397801</c:v>
                </c:pt>
                <c:pt idx="11">
                  <c:v>1094.8954433163699</c:v>
                </c:pt>
                <c:pt idx="12">
                  <c:v>1256.11744136429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640-44FB-B129-62CF2E27A903}"/>
            </c:ext>
          </c:extLst>
        </c:ser>
        <c:ser>
          <c:idx val="13"/>
          <c:order val="13"/>
          <c:tx>
            <c:strRef>
              <c:f>'MCFA and LCFA DM'!$P$38</c:f>
              <c:strCache>
                <c:ptCount val="1"/>
                <c:pt idx="0">
                  <c:v>20:1c5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DM'!$P$39:$P$51</c:f>
              <c:numCache>
                <c:formatCode>General</c:formatCode>
                <c:ptCount val="13"/>
                <c:pt idx="0">
                  <c:v>14.6393642079382</c:v>
                </c:pt>
                <c:pt idx="1">
                  <c:v>22.508601662125098</c:v>
                </c:pt>
                <c:pt idx="2">
                  <c:v>21.627079216039601</c:v>
                </c:pt>
                <c:pt idx="3">
                  <c:v>16.4684985071056</c:v>
                </c:pt>
                <c:pt idx="4">
                  <c:v>4.4029524350661404</c:v>
                </c:pt>
                <c:pt idx="5">
                  <c:v>20.940156028998398</c:v>
                </c:pt>
                <c:pt idx="6">
                  <c:v>20.3625099172347</c:v>
                </c:pt>
                <c:pt idx="7">
                  <c:v>25.570633455250999</c:v>
                </c:pt>
                <c:pt idx="8">
                  <c:v>26.032282187062702</c:v>
                </c:pt>
                <c:pt idx="9">
                  <c:v>101.86604883504501</c:v>
                </c:pt>
                <c:pt idx="10">
                  <c:v>72.036897298796404</c:v>
                </c:pt>
                <c:pt idx="11">
                  <c:v>72.261269859643605</c:v>
                </c:pt>
                <c:pt idx="12">
                  <c:v>74.000876454995904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640-44FB-B129-62CF2E27A903}"/>
            </c:ext>
          </c:extLst>
        </c:ser>
        <c:ser>
          <c:idx val="14"/>
          <c:order val="14"/>
          <c:tx>
            <c:strRef>
              <c:f>'MCFA and LCFA DM'!$Q$38</c:f>
              <c:strCache>
                <c:ptCount val="1"/>
                <c:pt idx="0">
                  <c:v>20:1c8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DM'!$Q$39:$Q$51</c:f>
              <c:numCache>
                <c:formatCode>General</c:formatCode>
                <c:ptCount val="13"/>
                <c:pt idx="0">
                  <c:v>74.688230798140495</c:v>
                </c:pt>
                <c:pt idx="1">
                  <c:v>116.181898912669</c:v>
                </c:pt>
                <c:pt idx="2">
                  <c:v>102.587929664187</c:v>
                </c:pt>
                <c:pt idx="3">
                  <c:v>112.45156556367</c:v>
                </c:pt>
                <c:pt idx="4">
                  <c:v>19.5735212212346</c:v>
                </c:pt>
                <c:pt idx="5">
                  <c:v>134.50397895835701</c:v>
                </c:pt>
                <c:pt idx="6">
                  <c:v>148.179574687383</c:v>
                </c:pt>
                <c:pt idx="7">
                  <c:v>168.49326917149099</c:v>
                </c:pt>
                <c:pt idx="8">
                  <c:v>194.67619722499001</c:v>
                </c:pt>
                <c:pt idx="9">
                  <c:v>617.98736293261004</c:v>
                </c:pt>
                <c:pt idx="10">
                  <c:v>574.94448656601901</c:v>
                </c:pt>
                <c:pt idx="11">
                  <c:v>664.98662263241704</c:v>
                </c:pt>
                <c:pt idx="12">
                  <c:v>767.04754633159303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640-44FB-B129-62CF2E27A903}"/>
            </c:ext>
          </c:extLst>
        </c:ser>
        <c:ser>
          <c:idx val="15"/>
          <c:order val="15"/>
          <c:tx>
            <c:strRef>
              <c:f>'MCFA and LCFA DM'!$R$38</c:f>
              <c:strCache>
                <c:ptCount val="1"/>
                <c:pt idx="0">
                  <c:v>20:1c11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DM'!$R$39:$R$51</c:f>
              <c:numCache>
                <c:formatCode>General</c:formatCode>
                <c:ptCount val="13"/>
                <c:pt idx="0">
                  <c:v>63.6596481106589</c:v>
                </c:pt>
                <c:pt idx="1">
                  <c:v>92.285266814713196</c:v>
                </c:pt>
                <c:pt idx="2">
                  <c:v>83.453190432152795</c:v>
                </c:pt>
                <c:pt idx="3">
                  <c:v>81.344401716915797</c:v>
                </c:pt>
                <c:pt idx="4">
                  <c:v>17.393841797934499</c:v>
                </c:pt>
                <c:pt idx="5">
                  <c:v>108.499227052577</c:v>
                </c:pt>
                <c:pt idx="6">
                  <c:v>121.969895675527</c:v>
                </c:pt>
                <c:pt idx="7">
                  <c:v>140.25284800049499</c:v>
                </c:pt>
                <c:pt idx="8">
                  <c:v>158.39079110747301</c:v>
                </c:pt>
                <c:pt idx="9">
                  <c:v>517.02679008720895</c:v>
                </c:pt>
                <c:pt idx="10">
                  <c:v>480.846289469466</c:v>
                </c:pt>
                <c:pt idx="11">
                  <c:v>552.47856955980706</c:v>
                </c:pt>
                <c:pt idx="12">
                  <c:v>620.46888719958099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640-44FB-B129-62CF2E27A903}"/>
            </c:ext>
          </c:extLst>
        </c:ser>
        <c:ser>
          <c:idx val="16"/>
          <c:order val="16"/>
          <c:tx>
            <c:strRef>
              <c:f>'MCFA and LCFA DM'!$S$38</c:f>
              <c:strCache>
                <c:ptCount val="1"/>
                <c:pt idx="0">
                  <c:v>20:2n6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DM'!$S$39:$S$51</c:f>
              <c:numCache>
                <c:formatCode>General</c:formatCode>
                <c:ptCount val="13"/>
                <c:pt idx="0">
                  <c:v>38.3841774674626</c:v>
                </c:pt>
                <c:pt idx="1">
                  <c:v>55.071045399999598</c:v>
                </c:pt>
                <c:pt idx="2">
                  <c:v>44.902318744082201</c:v>
                </c:pt>
                <c:pt idx="3">
                  <c:v>56.641653956257301</c:v>
                </c:pt>
                <c:pt idx="4">
                  <c:v>10.070118935646301</c:v>
                </c:pt>
                <c:pt idx="5">
                  <c:v>67.349385553732105</c:v>
                </c:pt>
                <c:pt idx="6">
                  <c:v>75.089961004613798</c:v>
                </c:pt>
                <c:pt idx="7">
                  <c:v>82.763419188109594</c:v>
                </c:pt>
                <c:pt idx="8">
                  <c:v>95.207579354219106</c:v>
                </c:pt>
                <c:pt idx="9">
                  <c:v>264.39898897629598</c:v>
                </c:pt>
                <c:pt idx="10">
                  <c:v>269.68813426236898</c:v>
                </c:pt>
                <c:pt idx="11">
                  <c:v>287.67303001085997</c:v>
                </c:pt>
                <c:pt idx="12">
                  <c:v>300.272787153926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640-44FB-B129-62CF2E27A903}"/>
            </c:ext>
          </c:extLst>
        </c:ser>
        <c:ser>
          <c:idx val="17"/>
          <c:order val="17"/>
          <c:tx>
            <c:strRef>
              <c:f>'MCFA and LCFA DM'!$T$38</c:f>
              <c:strCache>
                <c:ptCount val="1"/>
                <c:pt idx="0">
                  <c:v>22:00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DM'!$T$39:$T$51</c:f>
              <c:numCache>
                <c:formatCode>General</c:formatCode>
                <c:ptCount val="13"/>
                <c:pt idx="0">
                  <c:v>70.998954027239193</c:v>
                </c:pt>
                <c:pt idx="1">
                  <c:v>79.868021564440795</c:v>
                </c:pt>
                <c:pt idx="2">
                  <c:v>71.634675024131099</c:v>
                </c:pt>
                <c:pt idx="3">
                  <c:v>81.261227482031401</c:v>
                </c:pt>
                <c:pt idx="4">
                  <c:v>34.133779768879002</c:v>
                </c:pt>
                <c:pt idx="5">
                  <c:v>95.983831472455506</c:v>
                </c:pt>
                <c:pt idx="6">
                  <c:v>99.8122022643295</c:v>
                </c:pt>
                <c:pt idx="7">
                  <c:v>117.94528842004399</c:v>
                </c:pt>
                <c:pt idx="8">
                  <c:v>125.034848970086</c:v>
                </c:pt>
                <c:pt idx="9">
                  <c:v>406.55871935053699</c:v>
                </c:pt>
                <c:pt idx="10">
                  <c:v>374.59186595374098</c:v>
                </c:pt>
                <c:pt idx="11">
                  <c:v>419.38977507147598</c:v>
                </c:pt>
                <c:pt idx="12">
                  <c:v>451.12072761987901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640-44FB-B129-62CF2E27A903}"/>
            </c:ext>
          </c:extLst>
        </c:ser>
        <c:ser>
          <c:idx val="18"/>
          <c:order val="18"/>
          <c:tx>
            <c:strRef>
              <c:f>'MCFA and LCFA DM'!$U$38</c:f>
              <c:strCache>
                <c:ptCount val="1"/>
                <c:pt idx="0">
                  <c:v>20:3n6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DM'!$U$39:$U$51</c:f>
              <c:numCache>
                <c:formatCode>General</c:formatCode>
                <c:ptCount val="13"/>
                <c:pt idx="0">
                  <c:v>202.43925089690401</c:v>
                </c:pt>
                <c:pt idx="1">
                  <c:v>411.30718103923402</c:v>
                </c:pt>
                <c:pt idx="2">
                  <c:v>298.47781260054597</c:v>
                </c:pt>
                <c:pt idx="3">
                  <c:v>398.820456270563</c:v>
                </c:pt>
                <c:pt idx="4">
                  <c:v>83.525315500858596</c:v>
                </c:pt>
                <c:pt idx="5">
                  <c:v>370.83555386237799</c:v>
                </c:pt>
                <c:pt idx="6">
                  <c:v>380.52760976313499</c:v>
                </c:pt>
                <c:pt idx="7">
                  <c:v>387.29720463080901</c:v>
                </c:pt>
                <c:pt idx="8">
                  <c:v>364.51852934569899</c:v>
                </c:pt>
                <c:pt idx="9">
                  <c:v>1571.90631802345</c:v>
                </c:pt>
                <c:pt idx="10">
                  <c:v>1396.6153463804101</c:v>
                </c:pt>
                <c:pt idx="11">
                  <c:v>1451.6282945221999</c:v>
                </c:pt>
                <c:pt idx="12">
                  <c:v>1332.9645053752399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640-44FB-B129-62CF2E27A903}"/>
            </c:ext>
          </c:extLst>
        </c:ser>
        <c:ser>
          <c:idx val="19"/>
          <c:order val="19"/>
          <c:tx>
            <c:strRef>
              <c:f>'MCFA and LCFA DM'!$V$38</c:f>
              <c:strCache>
                <c:ptCount val="1"/>
                <c:pt idx="0">
                  <c:v>20:5n3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DM'!$V$39:$V$51</c:f>
              <c:numCache>
                <c:formatCode>General</c:formatCode>
                <c:ptCount val="13"/>
                <c:pt idx="0">
                  <c:v>204.51937503368899</c:v>
                </c:pt>
                <c:pt idx="1">
                  <c:v>182.43221647152399</c:v>
                </c:pt>
                <c:pt idx="2">
                  <c:v>130.84784916023901</c:v>
                </c:pt>
                <c:pt idx="3">
                  <c:v>167.388147704798</c:v>
                </c:pt>
                <c:pt idx="4">
                  <c:v>36.357052780645098</c:v>
                </c:pt>
                <c:pt idx="5">
                  <c:v>192.016360982187</c:v>
                </c:pt>
                <c:pt idx="6">
                  <c:v>190.289450360052</c:v>
                </c:pt>
                <c:pt idx="7">
                  <c:v>211.03188677570299</c:v>
                </c:pt>
                <c:pt idx="8">
                  <c:v>175.76783880778899</c:v>
                </c:pt>
                <c:pt idx="9">
                  <c:v>908.19241761378396</c:v>
                </c:pt>
                <c:pt idx="10">
                  <c:v>703.71044048761701</c:v>
                </c:pt>
                <c:pt idx="11">
                  <c:v>797.16071750227104</c:v>
                </c:pt>
                <c:pt idx="12">
                  <c:v>694.94412824723702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640-44FB-B129-62CF2E27A903}"/>
            </c:ext>
          </c:extLst>
        </c:ser>
        <c:ser>
          <c:idx val="20"/>
          <c:order val="20"/>
          <c:tx>
            <c:strRef>
              <c:f>'MCFA and LCFA DM'!$W$38</c:f>
              <c:strCache>
                <c:ptCount val="1"/>
                <c:pt idx="0">
                  <c:v>24:1n9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DM'!$W$39:$W$51</c:f>
              <c:numCache>
                <c:formatCode>General</c:formatCode>
                <c:ptCount val="13"/>
                <c:pt idx="0">
                  <c:v>29.945938044656401</c:v>
                </c:pt>
                <c:pt idx="1">
                  <c:v>26.522635625204099</c:v>
                </c:pt>
                <c:pt idx="2">
                  <c:v>30.1492740000552</c:v>
                </c:pt>
                <c:pt idx="3">
                  <c:v>30.3170086153536</c:v>
                </c:pt>
                <c:pt idx="4">
                  <c:v>12.293391947412299</c:v>
                </c:pt>
                <c:pt idx="5">
                  <c:v>29.559708626981401</c:v>
                </c:pt>
                <c:pt idx="6">
                  <c:v>27.132916237322799</c:v>
                </c:pt>
                <c:pt idx="7">
                  <c:v>42.123317292872898</c:v>
                </c:pt>
                <c:pt idx="8">
                  <c:v>26.498333274810602</c:v>
                </c:pt>
                <c:pt idx="9">
                  <c:v>117.71187865383</c:v>
                </c:pt>
                <c:pt idx="10">
                  <c:v>101.301886826432</c:v>
                </c:pt>
                <c:pt idx="11">
                  <c:v>117.53890097423</c:v>
                </c:pt>
                <c:pt idx="12">
                  <c:v>109.10385631185299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640-44FB-B129-62CF2E27A903}"/>
            </c:ext>
          </c:extLst>
        </c:ser>
        <c:ser>
          <c:idx val="21"/>
          <c:order val="21"/>
          <c:tx>
            <c:strRef>
              <c:f>'MCFA and LCFA DM'!$X$38</c:f>
              <c:strCache>
                <c:ptCount val="1"/>
                <c:pt idx="0">
                  <c:v>22:4n6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DM'!$X$39:$X$51</c:f>
              <c:numCache>
                <c:formatCode>General</c:formatCode>
                <c:ptCount val="13"/>
                <c:pt idx="0">
                  <c:v>29.985185669878799</c:v>
                </c:pt>
                <c:pt idx="1">
                  <c:v>79.943050236647906</c:v>
                </c:pt>
                <c:pt idx="2">
                  <c:v>52.540134824096199</c:v>
                </c:pt>
                <c:pt idx="3">
                  <c:v>67.703827195878802</c:v>
                </c:pt>
                <c:pt idx="4">
                  <c:v>16.652750794012501</c:v>
                </c:pt>
                <c:pt idx="5">
                  <c:v>77.381181232740602</c:v>
                </c:pt>
                <c:pt idx="6">
                  <c:v>81.655203496820405</c:v>
                </c:pt>
                <c:pt idx="7">
                  <c:v>92.018683269360494</c:v>
                </c:pt>
                <c:pt idx="8">
                  <c:v>83.756038340984304</c:v>
                </c:pt>
                <c:pt idx="9">
                  <c:v>349.06099400808898</c:v>
                </c:pt>
                <c:pt idx="10">
                  <c:v>308.407966560472</c:v>
                </c:pt>
                <c:pt idx="11">
                  <c:v>352.15935311345299</c:v>
                </c:pt>
                <c:pt idx="12">
                  <c:v>328.26029812087899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640-44FB-B129-62CF2E27A903}"/>
            </c:ext>
          </c:extLst>
        </c:ser>
        <c:ser>
          <c:idx val="22"/>
          <c:order val="22"/>
          <c:tx>
            <c:strRef>
              <c:f>'MCFA and LCFA DM'!$Y$38</c:f>
              <c:strCache>
                <c:ptCount val="1"/>
                <c:pt idx="0">
                  <c:v>22:5n6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DM'!$Y$39:$Y$51</c:f>
              <c:numCache>
                <c:formatCode>General</c:formatCode>
                <c:ptCount val="13"/>
                <c:pt idx="0">
                  <c:v>9.7726586803662592</c:v>
                </c:pt>
                <c:pt idx="1">
                  <c:v>18.194453010217799</c:v>
                </c:pt>
                <c:pt idx="2">
                  <c:v>10.612544448019399</c:v>
                </c:pt>
                <c:pt idx="3">
                  <c:v>13.224703346615099</c:v>
                </c:pt>
                <c:pt idx="4">
                  <c:v>4.4029524350661404</c:v>
                </c:pt>
                <c:pt idx="5">
                  <c:v>17.677387531456802</c:v>
                </c:pt>
                <c:pt idx="6">
                  <c:v>18.823781208123801</c:v>
                </c:pt>
                <c:pt idx="7">
                  <c:v>17.620598923920099</c:v>
                </c:pt>
                <c:pt idx="8">
                  <c:v>20.239932953624201</c:v>
                </c:pt>
                <c:pt idx="9">
                  <c:v>90.094860969662506</c:v>
                </c:pt>
                <c:pt idx="10">
                  <c:v>72.487127906913898</c:v>
                </c:pt>
                <c:pt idx="11">
                  <c:v>80.950916235170396</c:v>
                </c:pt>
                <c:pt idx="12">
                  <c:v>92.501095568744901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640-44FB-B129-62CF2E27A903}"/>
            </c:ext>
          </c:extLst>
        </c:ser>
        <c:ser>
          <c:idx val="23"/>
          <c:order val="23"/>
          <c:tx>
            <c:strRef>
              <c:f>'MCFA and LCFA DM'!$Z$38</c:f>
              <c:strCache>
                <c:ptCount val="1"/>
                <c:pt idx="0">
                  <c:v>22:5n3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DM'!$Z$39:$Z$51</c:f>
              <c:numCache>
                <c:formatCode>General</c:formatCode>
                <c:ptCount val="13"/>
                <c:pt idx="0">
                  <c:v>341.33659655881598</c:v>
                </c:pt>
                <c:pt idx="1">
                  <c:v>409.05632087302098</c:v>
                </c:pt>
                <c:pt idx="2">
                  <c:v>236.531104288433</c:v>
                </c:pt>
                <c:pt idx="3">
                  <c:v>353.116214201601</c:v>
                </c:pt>
                <c:pt idx="4">
                  <c:v>80.517357896704496</c:v>
                </c:pt>
                <c:pt idx="5">
                  <c:v>362.99516986082301</c:v>
                </c:pt>
                <c:pt idx="6">
                  <c:v>365.39677745687698</c:v>
                </c:pt>
                <c:pt idx="7">
                  <c:v>340.36826944959398</c:v>
                </c:pt>
                <c:pt idx="8">
                  <c:v>297.606908890461</c:v>
                </c:pt>
                <c:pt idx="9">
                  <c:v>1548.3639422926899</c:v>
                </c:pt>
                <c:pt idx="10">
                  <c:v>1316.9245287436199</c:v>
                </c:pt>
                <c:pt idx="11">
                  <c:v>1397.6610170320901</c:v>
                </c:pt>
                <c:pt idx="12">
                  <c:v>1170.73181468544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640-44FB-B129-62CF2E27A903}"/>
            </c:ext>
          </c:extLst>
        </c:ser>
        <c:ser>
          <c:idx val="24"/>
          <c:order val="24"/>
          <c:tx>
            <c:strRef>
              <c:f>'MCFA and LCFA DM'!$AA$38</c:f>
              <c:strCache>
                <c:ptCount val="1"/>
                <c:pt idx="0">
                  <c:v>22:6n3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DM'!$AA$39:$AA$51</c:f>
              <c:numCache>
                <c:formatCode>General</c:formatCode>
                <c:ptCount val="13"/>
                <c:pt idx="0">
                  <c:v>61.618771599096497</c:v>
                </c:pt>
                <c:pt idx="1">
                  <c:v>63.811885712124798</c:v>
                </c:pt>
                <c:pt idx="2">
                  <c:v>35.133953968064297</c:v>
                </c:pt>
                <c:pt idx="3">
                  <c:v>72.777455523825495</c:v>
                </c:pt>
                <c:pt idx="4">
                  <c:v>14.124322662984399</c:v>
                </c:pt>
                <c:pt idx="5">
                  <c:v>54.200915489012097</c:v>
                </c:pt>
                <c:pt idx="6">
                  <c:v>54.881323958290103</c:v>
                </c:pt>
                <c:pt idx="7">
                  <c:v>49.480065665149397</c:v>
                </c:pt>
                <c:pt idx="8">
                  <c:v>42.077755350955499</c:v>
                </c:pt>
                <c:pt idx="9">
                  <c:v>241.30935124035199</c:v>
                </c:pt>
                <c:pt idx="10">
                  <c:v>199.00192878792501</c:v>
                </c:pt>
                <c:pt idx="11">
                  <c:v>212.66766129578599</c:v>
                </c:pt>
                <c:pt idx="12">
                  <c:v>174.09180550630401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640-44FB-B129-62CF2E27A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4417968"/>
        <c:axId val="2084420880"/>
      </c:barChart>
      <c:catAx>
        <c:axId val="208441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420880"/>
        <c:crosses val="autoZero"/>
        <c:auto val="1"/>
        <c:lblAlgn val="ctr"/>
        <c:lblOffset val="100"/>
        <c:noMultiLvlLbl val="0"/>
      </c:catAx>
      <c:valAx>
        <c:axId val="208442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41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013678231739511"/>
          <c:y val="0.11576282500901884"/>
          <c:w val="0.7041369116981091"/>
          <c:h val="3.77881666407474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873589888656085E-2"/>
          <c:y val="8.7530379729710062E-2"/>
          <c:w val="0.93038324131435024"/>
          <c:h val="0.8024307357478512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'MCFA and LCFA DM'!$AF$20</c:f>
              <c:strCache>
                <c:ptCount val="1"/>
                <c:pt idx="0">
                  <c:v>6:00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'MCFA and LCFA DM'!$AD$21:$AD$33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DM'!$AF$21:$AF$33</c:f>
              <c:numCache>
                <c:formatCode>General</c:formatCode>
                <c:ptCount val="13"/>
                <c:pt idx="0">
                  <c:v>21.978670124518501</c:v>
                </c:pt>
                <c:pt idx="1">
                  <c:v>27.723094380517502</c:v>
                </c:pt>
                <c:pt idx="2">
                  <c:v>28.259919496051701</c:v>
                </c:pt>
                <c:pt idx="3">
                  <c:v>28.445588330455202</c:v>
                </c:pt>
                <c:pt idx="4">
                  <c:v>29.643640156880899</c:v>
                </c:pt>
                <c:pt idx="5">
                  <c:v>35.111284876529901</c:v>
                </c:pt>
                <c:pt idx="6">
                  <c:v>36.980779975632899</c:v>
                </c:pt>
                <c:pt idx="7">
                  <c:v>44.674447776807497</c:v>
                </c:pt>
                <c:pt idx="8">
                  <c:v>40.346708453606098</c:v>
                </c:pt>
                <c:pt idx="9" formatCode="0.00">
                  <c:v>25.202281974654813</c:v>
                </c:pt>
                <c:pt idx="10" formatCode="0.00">
                  <c:v>42.108994573716899</c:v>
                </c:pt>
                <c:pt idx="11" formatCode="0.00">
                  <c:v>32.504375901215845</c:v>
                </c:pt>
                <c:pt idx="12" formatCode="0.00">
                  <c:v>12.644329400395607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9-44CE-912B-2D0A054F76C2}"/>
            </c:ext>
          </c:extLst>
        </c:ser>
        <c:ser>
          <c:idx val="1"/>
          <c:order val="1"/>
          <c:tx>
            <c:strRef>
              <c:f>'MCFA and LCFA DM'!$AG$20</c:f>
              <c:strCache>
                <c:ptCount val="1"/>
                <c:pt idx="0">
                  <c:v>8:00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'MCFA and LCFA DM'!$AD$21:$AD$33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DM'!$AG$21:$AG$33</c:f>
              <c:numCache>
                <c:formatCode>General</c:formatCode>
                <c:ptCount val="13"/>
                <c:pt idx="0">
                  <c:v>34.263176819115401</c:v>
                </c:pt>
                <c:pt idx="1">
                  <c:v>266.83947270449301</c:v>
                </c:pt>
                <c:pt idx="2">
                  <c:v>104.79887642419099</c:v>
                </c:pt>
                <c:pt idx="3">
                  <c:v>159.48659539078301</c:v>
                </c:pt>
                <c:pt idx="4">
                  <c:v>25.1535005448828</c:v>
                </c:pt>
                <c:pt idx="5">
                  <c:v>170.78401672952799</c:v>
                </c:pt>
                <c:pt idx="6">
                  <c:v>292.87136430078198</c:v>
                </c:pt>
                <c:pt idx="7">
                  <c:v>374.83819529066398</c:v>
                </c:pt>
                <c:pt idx="8">
                  <c:v>185.95438401142201</c:v>
                </c:pt>
                <c:pt idx="9" formatCode="0.00">
                  <c:v>47.11797447451157</c:v>
                </c:pt>
                <c:pt idx="10" formatCode="0.00">
                  <c:v>45.235844452062139</c:v>
                </c:pt>
                <c:pt idx="11" formatCode="0.00">
                  <c:v>59.743911463531418</c:v>
                </c:pt>
                <c:pt idx="12" formatCode="0.00">
                  <c:v>65.865885639737286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59-44CE-912B-2D0A054F76C2}"/>
            </c:ext>
          </c:extLst>
        </c:ser>
        <c:ser>
          <c:idx val="2"/>
          <c:order val="2"/>
          <c:tx>
            <c:strRef>
              <c:f>'MCFA and LCFA DM'!$AH$20</c:f>
              <c:strCache>
                <c:ptCount val="1"/>
                <c:pt idx="0">
                  <c:v>10:00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'MCFA and LCFA DM'!$AD$21:$AD$33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DM'!$AH$21:$AH$33</c:f>
              <c:numCache>
                <c:formatCode>General</c:formatCode>
                <c:ptCount val="13"/>
                <c:pt idx="0">
                  <c:v>478.232313334389</c:v>
                </c:pt>
                <c:pt idx="1">
                  <c:v>1304.5985523367699</c:v>
                </c:pt>
                <c:pt idx="2">
                  <c:v>874.32894600160103</c:v>
                </c:pt>
                <c:pt idx="3">
                  <c:v>1497.7184475628801</c:v>
                </c:pt>
                <c:pt idx="4">
                  <c:v>150.615848150034</c:v>
                </c:pt>
                <c:pt idx="5">
                  <c:v>1441.5592994660699</c:v>
                </c:pt>
                <c:pt idx="6">
                  <c:v>1769.12768782181</c:v>
                </c:pt>
                <c:pt idx="7">
                  <c:v>2139.9238470938499</c:v>
                </c:pt>
                <c:pt idx="8">
                  <c:v>2366.6074235839601</c:v>
                </c:pt>
                <c:pt idx="9" formatCode="0.00">
                  <c:v>168.60007963082342</c:v>
                </c:pt>
                <c:pt idx="10" formatCode="0.00">
                  <c:v>161.08002301940508</c:v>
                </c:pt>
                <c:pt idx="11" formatCode="0.00">
                  <c:v>214.30853121573821</c:v>
                </c:pt>
                <c:pt idx="12" formatCode="0.00">
                  <c:v>247.40341828263905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59-44CE-912B-2D0A054F76C2}"/>
            </c:ext>
          </c:extLst>
        </c:ser>
        <c:ser>
          <c:idx val="3"/>
          <c:order val="3"/>
          <c:tx>
            <c:strRef>
              <c:f>'MCFA and LCFA DM'!$AI$20</c:f>
              <c:strCache>
                <c:ptCount val="1"/>
                <c:pt idx="0">
                  <c:v>12:00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'MCFA and LCFA DM'!$AD$21:$AD$33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DM'!$AI$21:$AI$33</c:f>
              <c:numCache>
                <c:formatCode>General</c:formatCode>
                <c:ptCount val="13"/>
                <c:pt idx="0">
                  <c:v>1656.3675272590201</c:v>
                </c:pt>
                <c:pt idx="1">
                  <c:v>2722.1527706813099</c:v>
                </c:pt>
                <c:pt idx="2">
                  <c:v>1959.38121774758</c:v>
                </c:pt>
                <c:pt idx="3">
                  <c:v>3326.9278082574301</c:v>
                </c:pt>
                <c:pt idx="4">
                  <c:v>366.40411105674099</c:v>
                </c:pt>
                <c:pt idx="5">
                  <c:v>2947.0591218764998</c:v>
                </c:pt>
                <c:pt idx="6">
                  <c:v>3269.8497978177102</c:v>
                </c:pt>
                <c:pt idx="7">
                  <c:v>3623.7918595051801</c:v>
                </c:pt>
                <c:pt idx="8">
                  <c:v>4099.11905292347</c:v>
                </c:pt>
                <c:pt idx="9" formatCode="0.00">
                  <c:v>301.88909463223024</c:v>
                </c:pt>
                <c:pt idx="10" formatCode="0.00">
                  <c:v>278.72576989902694</c:v>
                </c:pt>
                <c:pt idx="11" formatCode="0.00">
                  <c:v>336.5588042557132</c:v>
                </c:pt>
                <c:pt idx="12" formatCode="0.00">
                  <c:v>363.38994608077468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59-44CE-912B-2D0A054F76C2}"/>
            </c:ext>
          </c:extLst>
        </c:ser>
        <c:ser>
          <c:idx val="4"/>
          <c:order val="4"/>
          <c:tx>
            <c:strRef>
              <c:f>'MCFA and LCFA DM'!$AJ$20</c:f>
              <c:strCache>
                <c:ptCount val="1"/>
                <c:pt idx="0">
                  <c:v>14:00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'MCFA and LCFA DM'!$AD$21:$AD$33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DM'!$AJ$21:$AJ$33</c:f>
              <c:numCache>
                <c:formatCode>General</c:formatCode>
                <c:ptCount val="13"/>
                <c:pt idx="0">
                  <c:v>10669.5454119475</c:v>
                </c:pt>
                <c:pt idx="1">
                  <c:v>14694.140365740701</c:v>
                </c:pt>
                <c:pt idx="2">
                  <c:v>10772.536595379701</c:v>
                </c:pt>
                <c:pt idx="3">
                  <c:v>17693.197528660501</c:v>
                </c:pt>
                <c:pt idx="4">
                  <c:v>2058.48924736458</c:v>
                </c:pt>
                <c:pt idx="5">
                  <c:v>15121.9580253598</c:v>
                </c:pt>
                <c:pt idx="6">
                  <c:v>16150.342657957501</c:v>
                </c:pt>
                <c:pt idx="7">
                  <c:v>16875.6094939953</c:v>
                </c:pt>
                <c:pt idx="8">
                  <c:v>17788.5042320701</c:v>
                </c:pt>
                <c:pt idx="9" formatCode="0.00">
                  <c:v>1518.3637757361307</c:v>
                </c:pt>
                <c:pt idx="10" formatCode="0.00">
                  <c:v>1370.1051171044228</c:v>
                </c:pt>
                <c:pt idx="11" formatCode="0.00">
                  <c:v>1549.0477073863137</c:v>
                </c:pt>
                <c:pt idx="12" formatCode="0.00">
                  <c:v>1567.2527011264708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59-44CE-912B-2D0A054F76C2}"/>
            </c:ext>
          </c:extLst>
        </c:ser>
        <c:ser>
          <c:idx val="5"/>
          <c:order val="5"/>
          <c:tx>
            <c:strRef>
              <c:f>'MCFA and LCFA DM'!$AK$20</c:f>
              <c:strCache>
                <c:ptCount val="1"/>
                <c:pt idx="0">
                  <c:v>14:1c9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'MCFA and LCFA DM'!$AD$21:$AD$33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DM'!$AK$21:$AK$33</c:f>
              <c:numCache>
                <c:formatCode>General</c:formatCode>
                <c:ptCount val="13"/>
                <c:pt idx="0">
                  <c:v>800.37682115947496</c:v>
                </c:pt>
                <c:pt idx="1">
                  <c:v>1080.4128797819999</c:v>
                </c:pt>
                <c:pt idx="2">
                  <c:v>769.97225892940901</c:v>
                </c:pt>
                <c:pt idx="3">
                  <c:v>1403.44045232145</c:v>
                </c:pt>
                <c:pt idx="4">
                  <c:v>133.48356788289601</c:v>
                </c:pt>
                <c:pt idx="5">
                  <c:v>1121.61319455788</c:v>
                </c:pt>
                <c:pt idx="6">
                  <c:v>1180.4613746729401</c:v>
                </c:pt>
                <c:pt idx="7">
                  <c:v>1212.38026602797</c:v>
                </c:pt>
                <c:pt idx="8">
                  <c:v>1207.0057385402999</c:v>
                </c:pt>
                <c:pt idx="9" formatCode="0.00">
                  <c:v>112.03573218398428</c:v>
                </c:pt>
                <c:pt idx="10" formatCode="0.00">
                  <c:v>99.672829103246016</c:v>
                </c:pt>
                <c:pt idx="11" formatCode="0.00">
                  <c:v>111.06913357038115</c:v>
                </c:pt>
                <c:pt idx="12" formatCode="0.00">
                  <c:v>106.45574988283295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59-44CE-912B-2D0A054F76C2}"/>
            </c:ext>
          </c:extLst>
        </c:ser>
        <c:ser>
          <c:idx val="6"/>
          <c:order val="6"/>
          <c:tx>
            <c:strRef>
              <c:f>'MCFA and LCFA DM'!$AL$20</c:f>
              <c:strCache>
                <c:ptCount val="1"/>
                <c:pt idx="0">
                  <c:v>15:00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DM'!$AD$21:$AD$33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DM'!$AL$21:$AL$33</c:f>
              <c:numCache>
                <c:formatCode>General</c:formatCode>
                <c:ptCount val="13"/>
                <c:pt idx="0">
                  <c:v>898.61362709102798</c:v>
                </c:pt>
                <c:pt idx="1">
                  <c:v>986.62703952315303</c:v>
                </c:pt>
                <c:pt idx="2">
                  <c:v>732.98914948934203</c:v>
                </c:pt>
                <c:pt idx="3">
                  <c:v>1022.00341114172</c:v>
                </c:pt>
                <c:pt idx="4">
                  <c:v>148.436168726734</c:v>
                </c:pt>
                <c:pt idx="5">
                  <c:v>1036.0994410999299</c:v>
                </c:pt>
                <c:pt idx="6">
                  <c:v>1163.5353588727201</c:v>
                </c:pt>
                <c:pt idx="7">
                  <c:v>1286.3037214461599</c:v>
                </c:pt>
                <c:pt idx="8">
                  <c:v>1479.77878232648</c:v>
                </c:pt>
                <c:pt idx="9" formatCode="0.00">
                  <c:v>105.25369234575004</c:v>
                </c:pt>
                <c:pt idx="10" formatCode="0.00">
                  <c:v>99.215979520948338</c:v>
                </c:pt>
                <c:pt idx="11" formatCode="0.00">
                  <c:v>118.79799820283749</c:v>
                </c:pt>
                <c:pt idx="12" formatCode="0.00">
                  <c:v>129.60321148256884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59-44CE-912B-2D0A054F76C2}"/>
            </c:ext>
          </c:extLst>
        </c:ser>
        <c:ser>
          <c:idx val="7"/>
          <c:order val="7"/>
          <c:tx>
            <c:strRef>
              <c:f>'MCFA and LCFA DM'!$AM$20</c:f>
              <c:strCache>
                <c:ptCount val="1"/>
                <c:pt idx="0">
                  <c:v>17:00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DM'!$AD$21:$AD$33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DM'!$AM$21:$AM$33</c:f>
              <c:numCache>
                <c:formatCode>General</c:formatCode>
                <c:ptCount val="13"/>
                <c:pt idx="0">
                  <c:v>733.03053999794895</c:v>
                </c:pt>
                <c:pt idx="1">
                  <c:v>1110.32840687568</c:v>
                </c:pt>
                <c:pt idx="2">
                  <c:v>676.42989615034298</c:v>
                </c:pt>
                <c:pt idx="3">
                  <c:v>955.64165054611306</c:v>
                </c:pt>
                <c:pt idx="4">
                  <c:v>184.00879032452099</c:v>
                </c:pt>
                <c:pt idx="5">
                  <c:v>1090.88800164852</c:v>
                </c:pt>
                <c:pt idx="6">
                  <c:v>1214.7000118615399</c:v>
                </c:pt>
                <c:pt idx="7">
                  <c:v>1364.7002756591401</c:v>
                </c:pt>
                <c:pt idx="8">
                  <c:v>1615.2843851061</c:v>
                </c:pt>
                <c:pt idx="9">
                  <c:v>107.46583299609546</c:v>
                </c:pt>
                <c:pt idx="10">
                  <c:v>100.82655105145257</c:v>
                </c:pt>
                <c:pt idx="11">
                  <c:v>123.99393009408023</c:v>
                </c:pt>
                <c:pt idx="12">
                  <c:v>139.67013836679885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A59-44CE-912B-2D0A054F76C2}"/>
            </c:ext>
          </c:extLst>
        </c:ser>
        <c:ser>
          <c:idx val="8"/>
          <c:order val="8"/>
          <c:tx>
            <c:strRef>
              <c:f>'MCFA and LCFA DM'!$AN$20</c:f>
              <c:strCache>
                <c:ptCount val="1"/>
                <c:pt idx="0">
                  <c:v>18:00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DM'!$AD$21:$AD$33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DM'!$AN$21:$AN$33</c:f>
              <c:numCache>
                <c:formatCode>General</c:formatCode>
                <c:ptCount val="13"/>
                <c:pt idx="0">
                  <c:v>4415.7711228579901</c:v>
                </c:pt>
                <c:pt idx="1">
                  <c:v>8760.9726394441604</c:v>
                </c:pt>
                <c:pt idx="2">
                  <c:v>7309.1006761400804</c:v>
                </c:pt>
                <c:pt idx="3">
                  <c:v>8564.2080848017795</c:v>
                </c:pt>
                <c:pt idx="4">
                  <c:v>1451.35631097034</c:v>
                </c:pt>
                <c:pt idx="5">
                  <c:v>10763.854334723001</c:v>
                </c:pt>
                <c:pt idx="6">
                  <c:v>12194.8375067092</c:v>
                </c:pt>
                <c:pt idx="7">
                  <c:v>14283.4933427093</c:v>
                </c:pt>
                <c:pt idx="8">
                  <c:v>18805.721497483901</c:v>
                </c:pt>
                <c:pt idx="9">
                  <c:v>1094.6010364788126</c:v>
                </c:pt>
                <c:pt idx="10">
                  <c:v>1039.6304623044045</c:v>
                </c:pt>
                <c:pt idx="11">
                  <c:v>1342.4363663544073</c:v>
                </c:pt>
                <c:pt idx="12">
                  <c:v>1652.9537009744513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A59-44CE-912B-2D0A054F76C2}"/>
            </c:ext>
          </c:extLst>
        </c:ser>
        <c:ser>
          <c:idx val="9"/>
          <c:order val="9"/>
          <c:tx>
            <c:strRef>
              <c:f>'MCFA and LCFA DM'!$AO$20</c:f>
              <c:strCache>
                <c:ptCount val="1"/>
                <c:pt idx="0">
                  <c:v>18:2n6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DM'!$AD$21:$AD$33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DM'!$AO$21:$AO$33</c:f>
              <c:numCache>
                <c:formatCode>General</c:formatCode>
                <c:ptCount val="13"/>
                <c:pt idx="0">
                  <c:v>1504.0474937710601</c:v>
                </c:pt>
                <c:pt idx="1">
                  <c:v>2845.4999077897601</c:v>
                </c:pt>
                <c:pt idx="2">
                  <c:v>2293.2341785081899</c:v>
                </c:pt>
                <c:pt idx="3">
                  <c:v>3146.64765414556</c:v>
                </c:pt>
                <c:pt idx="4">
                  <c:v>508.73717739823599</c:v>
                </c:pt>
                <c:pt idx="5">
                  <c:v>3381.8351986832399</c:v>
                </c:pt>
                <c:pt idx="6">
                  <c:v>3569.8506051373702</c:v>
                </c:pt>
                <c:pt idx="7">
                  <c:v>3854.8768184569299</c:v>
                </c:pt>
                <c:pt idx="8">
                  <c:v>4415.9006351384096</c:v>
                </c:pt>
                <c:pt idx="9" formatCode="0.00">
                  <c:v>335.49485496128591</c:v>
                </c:pt>
                <c:pt idx="10" formatCode="0.00">
                  <c:v>299.60233999451555</c:v>
                </c:pt>
                <c:pt idx="11" formatCode="0.00">
                  <c:v>352.402504999634</c:v>
                </c:pt>
                <c:pt idx="12" formatCode="0.00">
                  <c:v>381.91497995458798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A59-44CE-912B-2D0A054F76C2}"/>
            </c:ext>
          </c:extLst>
        </c:ser>
        <c:ser>
          <c:idx val="10"/>
          <c:order val="10"/>
          <c:tx>
            <c:strRef>
              <c:f>'MCFA and LCFA DM'!$AP$20</c:f>
              <c:strCache>
                <c:ptCount val="1"/>
                <c:pt idx="0">
                  <c:v>18:3n6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DM'!$AD$21:$AD$33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DM'!$AP$21:$AP$33</c:f>
              <c:numCache>
                <c:formatCode>General</c:formatCode>
                <c:ptCount val="13"/>
                <c:pt idx="0">
                  <c:v>57.105294698525697</c:v>
                </c:pt>
                <c:pt idx="1">
                  <c:v>81.143508991961198</c:v>
                </c:pt>
                <c:pt idx="2">
                  <c:v>79.955874648146406</c:v>
                </c:pt>
                <c:pt idx="3">
                  <c:v>86.293268692535904</c:v>
                </c:pt>
                <c:pt idx="4">
                  <c:v>15.8244726131585</c:v>
                </c:pt>
                <c:pt idx="5">
                  <c:v>104.798176219545</c:v>
                </c:pt>
                <c:pt idx="6">
                  <c:v>114.943034570587</c:v>
                </c:pt>
                <c:pt idx="7">
                  <c:v>136.39648796664</c:v>
                </c:pt>
                <c:pt idx="8">
                  <c:v>147.47187990880701</c:v>
                </c:pt>
                <c:pt idx="9" formatCode="0.00">
                  <c:v>10.073430800289845</c:v>
                </c:pt>
                <c:pt idx="10" formatCode="0.00">
                  <c:v>9.7962349314542863</c:v>
                </c:pt>
                <c:pt idx="11" formatCode="0.00">
                  <c:v>10.175292612268574</c:v>
                </c:pt>
                <c:pt idx="12" formatCode="0.00">
                  <c:v>10.423782810410565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A59-44CE-912B-2D0A054F76C2}"/>
            </c:ext>
          </c:extLst>
        </c:ser>
        <c:ser>
          <c:idx val="11"/>
          <c:order val="11"/>
          <c:tx>
            <c:strRef>
              <c:f>'MCFA and LCFA DM'!$AQ$20</c:f>
              <c:strCache>
                <c:ptCount val="1"/>
                <c:pt idx="0">
                  <c:v>18:3n3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DM'!$AD$21:$AD$33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DM'!$AQ$21:$AQ$33</c:f>
              <c:numCache>
                <c:formatCode>General</c:formatCode>
                <c:ptCount val="13"/>
                <c:pt idx="0">
                  <c:v>526.15366373088398</c:v>
                </c:pt>
                <c:pt idx="1">
                  <c:v>442.21899398855197</c:v>
                </c:pt>
                <c:pt idx="2">
                  <c:v>353.06809805664602</c:v>
                </c:pt>
                <c:pt idx="3">
                  <c:v>488.274345888705</c:v>
                </c:pt>
                <c:pt idx="4">
                  <c:v>77.204245173288399</c:v>
                </c:pt>
                <c:pt idx="5">
                  <c:v>663.94904023107995</c:v>
                </c:pt>
                <c:pt idx="6">
                  <c:v>662.16625448740695</c:v>
                </c:pt>
                <c:pt idx="7">
                  <c:v>734.42893629362595</c:v>
                </c:pt>
                <c:pt idx="8">
                  <c:v>829.50435746448602</c:v>
                </c:pt>
                <c:pt idx="9" formatCode="0.00">
                  <c:v>66.507128498004931</c:v>
                </c:pt>
                <c:pt idx="10" formatCode="0.00">
                  <c:v>53.536069516160154</c:v>
                </c:pt>
                <c:pt idx="11" formatCode="0.00">
                  <c:v>64.814404016991389</c:v>
                </c:pt>
                <c:pt idx="12" formatCode="0.00">
                  <c:v>67.136548792748613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A59-44CE-912B-2D0A054F76C2}"/>
            </c:ext>
          </c:extLst>
        </c:ser>
        <c:ser>
          <c:idx val="12"/>
          <c:order val="12"/>
          <c:tx>
            <c:strRef>
              <c:f>'MCFA and LCFA DM'!$AR$20</c:f>
              <c:strCache>
                <c:ptCount val="1"/>
                <c:pt idx="0">
                  <c:v>20:00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DM'!$AD$21:$AD$33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DM'!$AR$21:$AR$33</c:f>
              <c:numCache>
                <c:formatCode>General</c:formatCode>
                <c:ptCount val="13"/>
                <c:pt idx="0">
                  <c:v>130.69459199043999</c:v>
                </c:pt>
                <c:pt idx="1">
                  <c:v>193.42391694986199</c:v>
                </c:pt>
                <c:pt idx="2">
                  <c:v>173.257827920317</c:v>
                </c:pt>
                <c:pt idx="3">
                  <c:v>189.387732831715</c:v>
                </c:pt>
                <c:pt idx="4">
                  <c:v>34.526122065072997</c:v>
                </c:pt>
                <c:pt idx="5">
                  <c:v>220.309920639974</c:v>
                </c:pt>
                <c:pt idx="6">
                  <c:v>259.68611514095602</c:v>
                </c:pt>
                <c:pt idx="7">
                  <c:v>295.57516444097598</c:v>
                </c:pt>
                <c:pt idx="8">
                  <c:v>342.48097076790401</c:v>
                </c:pt>
                <c:pt idx="9" formatCode="0.00">
                  <c:v>21.776191137922631</c:v>
                </c:pt>
                <c:pt idx="10" formatCode="0.00">
                  <c:v>22.132134897464802</c:v>
                </c:pt>
                <c:pt idx="11" formatCode="0.00">
                  <c:v>23.936327889232675</c:v>
                </c:pt>
                <c:pt idx="12" formatCode="0.00">
                  <c:v>26.481588592952129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A59-44CE-912B-2D0A054F76C2}"/>
            </c:ext>
          </c:extLst>
        </c:ser>
        <c:ser>
          <c:idx val="13"/>
          <c:order val="13"/>
          <c:tx>
            <c:strRef>
              <c:f>'MCFA and LCFA DM'!$AS$20</c:f>
              <c:strCache>
                <c:ptCount val="1"/>
                <c:pt idx="0">
                  <c:v>20:1c5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DM'!$AD$21:$AD$33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DM'!$AS$21:$AS$33</c:f>
              <c:numCache>
                <c:formatCode>General</c:formatCode>
                <c:ptCount val="13"/>
                <c:pt idx="0">
                  <c:v>14.6393642079382</c:v>
                </c:pt>
                <c:pt idx="1">
                  <c:v>22.508601662125098</c:v>
                </c:pt>
                <c:pt idx="2">
                  <c:v>21.627079216039601</c:v>
                </c:pt>
                <c:pt idx="3">
                  <c:v>16.4684985071056</c:v>
                </c:pt>
                <c:pt idx="4">
                  <c:v>4.4029524350661404</c:v>
                </c:pt>
                <c:pt idx="5">
                  <c:v>20.940156028998398</c:v>
                </c:pt>
                <c:pt idx="6">
                  <c:v>20.3625099172347</c:v>
                </c:pt>
                <c:pt idx="7">
                  <c:v>25.570633455250999</c:v>
                </c:pt>
                <c:pt idx="8">
                  <c:v>26.032282187062702</c:v>
                </c:pt>
                <c:pt idx="9" formatCode="0.00">
                  <c:v>2.248257652711132</c:v>
                </c:pt>
                <c:pt idx="10" formatCode="0.00">
                  <c:v>1.5979979970394211</c:v>
                </c:pt>
                <c:pt idx="11" formatCode="0.00">
                  <c:v>1.5783880273535853</c:v>
                </c:pt>
                <c:pt idx="12" formatCode="0.00">
                  <c:v>1.5559274334855786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A59-44CE-912B-2D0A054F76C2}"/>
            </c:ext>
          </c:extLst>
        </c:ser>
        <c:ser>
          <c:idx val="14"/>
          <c:order val="14"/>
          <c:tx>
            <c:strRef>
              <c:f>'MCFA and LCFA DM'!$AT$20</c:f>
              <c:strCache>
                <c:ptCount val="1"/>
                <c:pt idx="0">
                  <c:v>20:1c8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DM'!$AD$21:$AD$33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DM'!$AT$21:$AT$33</c:f>
              <c:numCache>
                <c:formatCode>General</c:formatCode>
                <c:ptCount val="13"/>
                <c:pt idx="0">
                  <c:v>74.688230798140495</c:v>
                </c:pt>
                <c:pt idx="1">
                  <c:v>116.181898912669</c:v>
                </c:pt>
                <c:pt idx="2">
                  <c:v>102.587929664187</c:v>
                </c:pt>
                <c:pt idx="3">
                  <c:v>112.45156556367</c:v>
                </c:pt>
                <c:pt idx="4">
                  <c:v>19.5735212212346</c:v>
                </c:pt>
                <c:pt idx="5">
                  <c:v>134.50397895835701</c:v>
                </c:pt>
                <c:pt idx="6">
                  <c:v>148.179574687383</c:v>
                </c:pt>
                <c:pt idx="7">
                  <c:v>168.49326917149099</c:v>
                </c:pt>
                <c:pt idx="8">
                  <c:v>194.67619722499001</c:v>
                </c:pt>
                <c:pt idx="9" formatCode="0.00">
                  <c:v>13.64775618898207</c:v>
                </c:pt>
                <c:pt idx="10" formatCode="0.00">
                  <c:v>12.771412589743463</c:v>
                </c:pt>
                <c:pt idx="11" formatCode="0.00">
                  <c:v>14.544958741442427</c:v>
                </c:pt>
                <c:pt idx="12" formatCode="0.00">
                  <c:v>16.165539461548249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A59-44CE-912B-2D0A054F76C2}"/>
            </c:ext>
          </c:extLst>
        </c:ser>
        <c:ser>
          <c:idx val="15"/>
          <c:order val="15"/>
          <c:tx>
            <c:strRef>
              <c:f>'MCFA and LCFA DM'!$AU$20</c:f>
              <c:strCache>
                <c:ptCount val="1"/>
                <c:pt idx="0">
                  <c:v>20:1c11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DM'!$AD$21:$AD$33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DM'!$AU$21:$AU$33</c:f>
              <c:numCache>
                <c:formatCode>General</c:formatCode>
                <c:ptCount val="13"/>
                <c:pt idx="0">
                  <c:v>63.6596481106589</c:v>
                </c:pt>
                <c:pt idx="1">
                  <c:v>92.285266814713196</c:v>
                </c:pt>
                <c:pt idx="2">
                  <c:v>83.453190432152795</c:v>
                </c:pt>
                <c:pt idx="3">
                  <c:v>81.344401716915797</c:v>
                </c:pt>
                <c:pt idx="4">
                  <c:v>17.393841797934499</c:v>
                </c:pt>
                <c:pt idx="5">
                  <c:v>108.499227052577</c:v>
                </c:pt>
                <c:pt idx="6">
                  <c:v>121.969895675527</c:v>
                </c:pt>
                <c:pt idx="7">
                  <c:v>140.25284800049499</c:v>
                </c:pt>
                <c:pt idx="8">
                  <c:v>158.39079110747301</c:v>
                </c:pt>
                <c:pt idx="9" formatCode="0.00">
                  <c:v>11.420834076517519</c:v>
                </c:pt>
                <c:pt idx="10" formatCode="0.00">
                  <c:v>10.683513787066287</c:v>
                </c:pt>
                <c:pt idx="11" formatCode="0.00">
                  <c:v>12.076311653527407</c:v>
                </c:pt>
                <c:pt idx="12" formatCode="0.00">
                  <c:v>13.081566795704147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A59-44CE-912B-2D0A054F76C2}"/>
            </c:ext>
          </c:extLst>
        </c:ser>
        <c:ser>
          <c:idx val="16"/>
          <c:order val="16"/>
          <c:tx>
            <c:strRef>
              <c:f>'MCFA and LCFA DM'!$AV$20</c:f>
              <c:strCache>
                <c:ptCount val="1"/>
                <c:pt idx="0">
                  <c:v>20:2n6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DM'!$AD$21:$AD$33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DM'!$AV$21:$AV$33</c:f>
              <c:numCache>
                <c:formatCode>General</c:formatCode>
                <c:ptCount val="13"/>
                <c:pt idx="0">
                  <c:v>38.3841774674626</c:v>
                </c:pt>
                <c:pt idx="1">
                  <c:v>55.071045399999598</c:v>
                </c:pt>
                <c:pt idx="2">
                  <c:v>44.902318744082201</c:v>
                </c:pt>
                <c:pt idx="3">
                  <c:v>56.641653956257301</c:v>
                </c:pt>
                <c:pt idx="4">
                  <c:v>10.070118935646301</c:v>
                </c:pt>
                <c:pt idx="5">
                  <c:v>67.349385553732105</c:v>
                </c:pt>
                <c:pt idx="6">
                  <c:v>75.089961004613798</c:v>
                </c:pt>
                <c:pt idx="7">
                  <c:v>82.763419188109594</c:v>
                </c:pt>
                <c:pt idx="8">
                  <c:v>95.207579354219106</c:v>
                </c:pt>
                <c:pt idx="9" formatCode="0.00">
                  <c:v>5.8386948851530214</c:v>
                </c:pt>
                <c:pt idx="10" formatCode="0.00">
                  <c:v>5.9909941678075374</c:v>
                </c:pt>
                <c:pt idx="11" formatCode="0.00">
                  <c:v>6.2946437506737976</c:v>
                </c:pt>
                <c:pt idx="12" formatCode="0.00">
                  <c:v>6.3343866393598818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A59-44CE-912B-2D0A054F76C2}"/>
            </c:ext>
          </c:extLst>
        </c:ser>
        <c:ser>
          <c:idx val="17"/>
          <c:order val="17"/>
          <c:tx>
            <c:strRef>
              <c:f>'MCFA and LCFA DM'!$AW$20</c:f>
              <c:strCache>
                <c:ptCount val="1"/>
                <c:pt idx="0">
                  <c:v>22:00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DM'!$AD$21:$AD$33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DM'!$AW$21:$AW$33</c:f>
              <c:numCache>
                <c:formatCode>General</c:formatCode>
                <c:ptCount val="13"/>
                <c:pt idx="0">
                  <c:v>70.998954027239193</c:v>
                </c:pt>
                <c:pt idx="1">
                  <c:v>79.868021564440795</c:v>
                </c:pt>
                <c:pt idx="2">
                  <c:v>71.634675024131099</c:v>
                </c:pt>
                <c:pt idx="3">
                  <c:v>81.261227482031401</c:v>
                </c:pt>
                <c:pt idx="4">
                  <c:v>34.133779768879002</c:v>
                </c:pt>
                <c:pt idx="5">
                  <c:v>95.983831472455506</c:v>
                </c:pt>
                <c:pt idx="6">
                  <c:v>99.8122022643295</c:v>
                </c:pt>
                <c:pt idx="7">
                  <c:v>117.94528842004399</c:v>
                </c:pt>
                <c:pt idx="8">
                  <c:v>125.034848970086</c:v>
                </c:pt>
                <c:pt idx="9" formatCode="0.00">
                  <c:v>8.9803322187653265</c:v>
                </c:pt>
                <c:pt idx="10" formatCode="0.00">
                  <c:v>8.3154580479101554</c:v>
                </c:pt>
                <c:pt idx="11" formatCode="0.00">
                  <c:v>9.1687372230717994</c:v>
                </c:pt>
                <c:pt idx="12" formatCode="0.00">
                  <c:v>9.5137244254288618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A59-44CE-912B-2D0A054F76C2}"/>
            </c:ext>
          </c:extLst>
        </c:ser>
        <c:ser>
          <c:idx val="18"/>
          <c:order val="18"/>
          <c:tx>
            <c:strRef>
              <c:f>'MCFA and LCFA DM'!$AX$20</c:f>
              <c:strCache>
                <c:ptCount val="1"/>
                <c:pt idx="0">
                  <c:v>20:3n6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DM'!$AD$21:$AD$33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DM'!$AX$21:$AX$33</c:f>
              <c:numCache>
                <c:formatCode>General</c:formatCode>
                <c:ptCount val="13"/>
                <c:pt idx="0">
                  <c:v>202.43925089690401</c:v>
                </c:pt>
                <c:pt idx="1">
                  <c:v>411.30718103923402</c:v>
                </c:pt>
                <c:pt idx="2">
                  <c:v>298.47781260054597</c:v>
                </c:pt>
                <c:pt idx="3">
                  <c:v>398.820456270563</c:v>
                </c:pt>
                <c:pt idx="4">
                  <c:v>83.525315500858596</c:v>
                </c:pt>
                <c:pt idx="5">
                  <c:v>370.83555386237799</c:v>
                </c:pt>
                <c:pt idx="6">
                  <c:v>380.52760976313499</c:v>
                </c:pt>
                <c:pt idx="7">
                  <c:v>387.29720463080901</c:v>
                </c:pt>
                <c:pt idx="8">
                  <c:v>364.51852934569899</c:v>
                </c:pt>
                <c:pt idx="9" formatCode="0.00">
                  <c:v>34.72123897093158</c:v>
                </c:pt>
                <c:pt idx="10" formatCode="0.00">
                  <c:v>31.01767609742749</c:v>
                </c:pt>
                <c:pt idx="11" formatCode="0.00">
                  <c:v>31.738779087762033</c:v>
                </c:pt>
                <c:pt idx="12" formatCode="0.00">
                  <c:v>28.095681162468765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A59-44CE-912B-2D0A054F76C2}"/>
            </c:ext>
          </c:extLst>
        </c:ser>
        <c:ser>
          <c:idx val="19"/>
          <c:order val="19"/>
          <c:tx>
            <c:strRef>
              <c:f>'MCFA and LCFA DM'!$AY$20</c:f>
              <c:strCache>
                <c:ptCount val="1"/>
                <c:pt idx="0">
                  <c:v>20:5n3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DM'!$AD$21:$AD$33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DM'!$AY$21:$AY$33</c:f>
              <c:numCache>
                <c:formatCode>General</c:formatCode>
                <c:ptCount val="13"/>
                <c:pt idx="0">
                  <c:v>204.51937503368899</c:v>
                </c:pt>
                <c:pt idx="1">
                  <c:v>182.43221647152399</c:v>
                </c:pt>
                <c:pt idx="2">
                  <c:v>130.84784916023901</c:v>
                </c:pt>
                <c:pt idx="3">
                  <c:v>167.388147704798</c:v>
                </c:pt>
                <c:pt idx="4">
                  <c:v>36.357052780645098</c:v>
                </c:pt>
                <c:pt idx="5">
                  <c:v>192.016360982187</c:v>
                </c:pt>
                <c:pt idx="6">
                  <c:v>190.289450360052</c:v>
                </c:pt>
                <c:pt idx="7">
                  <c:v>211.03188677570299</c:v>
                </c:pt>
                <c:pt idx="8">
                  <c:v>175.76783880778899</c:v>
                </c:pt>
                <c:pt idx="9" formatCode="0.00">
                  <c:v>20.064708793593901</c:v>
                </c:pt>
                <c:pt idx="10" formatCode="0.00">
                  <c:v>15.628918707925191</c:v>
                </c:pt>
                <c:pt idx="11" formatCode="0.00">
                  <c:v>17.427621027586959</c:v>
                </c:pt>
                <c:pt idx="12" formatCode="0.00">
                  <c:v>14.648549899502125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A59-44CE-912B-2D0A054F76C2}"/>
            </c:ext>
          </c:extLst>
        </c:ser>
        <c:ser>
          <c:idx val="20"/>
          <c:order val="20"/>
          <c:tx>
            <c:strRef>
              <c:f>'MCFA and LCFA DM'!$AZ$20</c:f>
              <c:strCache>
                <c:ptCount val="1"/>
                <c:pt idx="0">
                  <c:v>24:1n9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DM'!$AD$21:$AD$33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DM'!$AZ$21:$AZ$33</c:f>
              <c:numCache>
                <c:formatCode>General</c:formatCode>
                <c:ptCount val="13"/>
                <c:pt idx="0">
                  <c:v>29.945938044656401</c:v>
                </c:pt>
                <c:pt idx="1">
                  <c:v>26.522635625204099</c:v>
                </c:pt>
                <c:pt idx="2">
                  <c:v>30.1492740000552</c:v>
                </c:pt>
                <c:pt idx="3">
                  <c:v>30.3170086153536</c:v>
                </c:pt>
                <c:pt idx="4">
                  <c:v>12.293391947412299</c:v>
                </c:pt>
                <c:pt idx="5">
                  <c:v>29.559708626981401</c:v>
                </c:pt>
                <c:pt idx="6">
                  <c:v>27.132916237322799</c:v>
                </c:pt>
                <c:pt idx="7">
                  <c:v>42.123317292872898</c:v>
                </c:pt>
                <c:pt idx="8">
                  <c:v>26.498333274810602</c:v>
                </c:pt>
                <c:pt idx="9" formatCode="0.00">
                  <c:v>2.60106567514684</c:v>
                </c:pt>
                <c:pt idx="10" formatCode="0.00">
                  <c:v>2.2542917947685086</c:v>
                </c:pt>
                <c:pt idx="11" formatCode="0.00">
                  <c:v>2.5743064501038795</c:v>
                </c:pt>
                <c:pt idx="12" formatCode="0.00">
                  <c:v>2.2977538294909214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A59-44CE-912B-2D0A054F76C2}"/>
            </c:ext>
          </c:extLst>
        </c:ser>
        <c:ser>
          <c:idx val="21"/>
          <c:order val="21"/>
          <c:tx>
            <c:strRef>
              <c:f>'MCFA and LCFA DM'!$BA$20</c:f>
              <c:strCache>
                <c:ptCount val="1"/>
                <c:pt idx="0">
                  <c:v>22:4n6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DM'!$AD$21:$AD$33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DM'!$BA$21:$BA$33</c:f>
              <c:numCache>
                <c:formatCode>General</c:formatCode>
                <c:ptCount val="13"/>
                <c:pt idx="0">
                  <c:v>29.985185669878799</c:v>
                </c:pt>
                <c:pt idx="1">
                  <c:v>79.943050236647906</c:v>
                </c:pt>
                <c:pt idx="2">
                  <c:v>52.540134824096199</c:v>
                </c:pt>
                <c:pt idx="3">
                  <c:v>67.703827195878802</c:v>
                </c:pt>
                <c:pt idx="4">
                  <c:v>16.652750794012501</c:v>
                </c:pt>
                <c:pt idx="5">
                  <c:v>77.381181232740602</c:v>
                </c:pt>
                <c:pt idx="6">
                  <c:v>81.655203496820405</c:v>
                </c:pt>
                <c:pt idx="7">
                  <c:v>92.018683269360494</c:v>
                </c:pt>
                <c:pt idx="8">
                  <c:v>83.756038340984304</c:v>
                </c:pt>
                <c:pt idx="9" formatCode="0.00">
                  <c:v>7.7139670871364183</c:v>
                </c:pt>
                <c:pt idx="10" formatCode="0.00">
                  <c:v>6.8481878607287605</c:v>
                </c:pt>
                <c:pt idx="11" formatCode="0.00">
                  <c:v>7.695574914871159</c:v>
                </c:pt>
                <c:pt idx="12" formatCode="0.00">
                  <c:v>6.9175066024744751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A59-44CE-912B-2D0A054F76C2}"/>
            </c:ext>
          </c:extLst>
        </c:ser>
        <c:ser>
          <c:idx val="22"/>
          <c:order val="22"/>
          <c:tx>
            <c:strRef>
              <c:f>'MCFA and LCFA DM'!$BB$20</c:f>
              <c:strCache>
                <c:ptCount val="1"/>
                <c:pt idx="0">
                  <c:v>22:5n6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DM'!$AD$21:$AD$33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DM'!$BB$21:$BB$33</c:f>
              <c:numCache>
                <c:formatCode>General</c:formatCode>
                <c:ptCount val="13"/>
                <c:pt idx="0">
                  <c:v>9.7726586803662592</c:v>
                </c:pt>
                <c:pt idx="1">
                  <c:v>18.194453010217799</c:v>
                </c:pt>
                <c:pt idx="2">
                  <c:v>10.612544448019399</c:v>
                </c:pt>
                <c:pt idx="3">
                  <c:v>13.224703346615099</c:v>
                </c:pt>
                <c:pt idx="4">
                  <c:v>4.4029524350661404</c:v>
                </c:pt>
                <c:pt idx="5">
                  <c:v>17.677387531456802</c:v>
                </c:pt>
                <c:pt idx="6">
                  <c:v>18.823781208123801</c:v>
                </c:pt>
                <c:pt idx="7">
                  <c:v>17.620598923920099</c:v>
                </c:pt>
                <c:pt idx="8">
                  <c:v>20.239932953624201</c:v>
                </c:pt>
                <c:pt idx="9" formatCode="0.00">
                  <c:v>1.9916566779262423</c:v>
                </c:pt>
                <c:pt idx="10" formatCode="0.00">
                  <c:v>1.6125299119450056</c:v>
                </c:pt>
                <c:pt idx="11" formatCode="0.00">
                  <c:v>1.7730055678894894</c:v>
                </c:pt>
                <c:pt idx="12" formatCode="0.00">
                  <c:v>1.9473520509138802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A59-44CE-912B-2D0A054F76C2}"/>
            </c:ext>
          </c:extLst>
        </c:ser>
        <c:ser>
          <c:idx val="23"/>
          <c:order val="23"/>
          <c:tx>
            <c:strRef>
              <c:f>'MCFA and LCFA DM'!$BC$20</c:f>
              <c:strCache>
                <c:ptCount val="1"/>
                <c:pt idx="0">
                  <c:v>22:5n3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DM'!$AD$21:$AD$33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DM'!$BC$21:$BC$33</c:f>
              <c:numCache>
                <c:formatCode>General</c:formatCode>
                <c:ptCount val="13"/>
                <c:pt idx="0">
                  <c:v>341.33659655881598</c:v>
                </c:pt>
                <c:pt idx="1">
                  <c:v>409.05632087302098</c:v>
                </c:pt>
                <c:pt idx="2">
                  <c:v>236.531104288433</c:v>
                </c:pt>
                <c:pt idx="3">
                  <c:v>353.116214201601</c:v>
                </c:pt>
                <c:pt idx="4">
                  <c:v>80.517357896704496</c:v>
                </c:pt>
                <c:pt idx="5">
                  <c:v>362.99516986082301</c:v>
                </c:pt>
                <c:pt idx="6">
                  <c:v>365.39677745687698</c:v>
                </c:pt>
                <c:pt idx="7">
                  <c:v>340.36826944959398</c:v>
                </c:pt>
                <c:pt idx="8">
                  <c:v>297.606908890461</c:v>
                </c:pt>
                <c:pt idx="9" formatCode="0.00">
                  <c:v>34.20445773164731</c:v>
                </c:pt>
                <c:pt idx="10" formatCode="0.00">
                  <c:v>29.249979247658679</c:v>
                </c:pt>
                <c:pt idx="11" formatCode="0.00">
                  <c:v>30.555719356282246</c:v>
                </c:pt>
                <c:pt idx="12" formatCode="0.00">
                  <c:v>24.683855266395913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A59-44CE-912B-2D0A054F76C2}"/>
            </c:ext>
          </c:extLst>
        </c:ser>
        <c:ser>
          <c:idx val="24"/>
          <c:order val="24"/>
          <c:tx>
            <c:strRef>
              <c:f>'MCFA and LCFA DM'!$BD$20</c:f>
              <c:strCache>
                <c:ptCount val="1"/>
                <c:pt idx="0">
                  <c:v>22:6n3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DM'!$AD$21:$AD$33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DM'!$BD$21:$BD$33</c:f>
              <c:numCache>
                <c:formatCode>General</c:formatCode>
                <c:ptCount val="13"/>
                <c:pt idx="0">
                  <c:v>61.618771599096497</c:v>
                </c:pt>
                <c:pt idx="1">
                  <c:v>63.811885712124798</c:v>
                </c:pt>
                <c:pt idx="2">
                  <c:v>35.133953968064297</c:v>
                </c:pt>
                <c:pt idx="3">
                  <c:v>72.777455523825495</c:v>
                </c:pt>
                <c:pt idx="4">
                  <c:v>14.124322662984399</c:v>
                </c:pt>
                <c:pt idx="5">
                  <c:v>54.200915489012097</c:v>
                </c:pt>
                <c:pt idx="6">
                  <c:v>54.881323958290103</c:v>
                </c:pt>
                <c:pt idx="7">
                  <c:v>49.480065665149397</c:v>
                </c:pt>
                <c:pt idx="8">
                  <c:v>42.077755350955499</c:v>
                </c:pt>
                <c:pt idx="9" formatCode="0.00">
                  <c:v>5.3257989716676111</c:v>
                </c:pt>
                <c:pt idx="10" formatCode="0.00">
                  <c:v>4.4205458842390071</c:v>
                </c:pt>
                <c:pt idx="11" formatCode="0.00">
                  <c:v>4.6456641512987922</c:v>
                </c:pt>
                <c:pt idx="12" formatCode="0.00">
                  <c:v>3.6671528632075496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A59-44CE-912B-2D0A054F7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2668256"/>
        <c:axId val="272670752"/>
      </c:barChart>
      <c:catAx>
        <c:axId val="2726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670752"/>
        <c:crosses val="autoZero"/>
        <c:auto val="1"/>
        <c:lblAlgn val="ctr"/>
        <c:lblOffset val="100"/>
        <c:noMultiLvlLbl val="0"/>
      </c:catAx>
      <c:valAx>
        <c:axId val="272670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>
                    <a:solidFill>
                      <a:schemeClr val="tx1"/>
                    </a:solidFill>
                  </a:rPr>
                  <a:t>FA</a:t>
                </a:r>
                <a:r>
                  <a:rPr lang="en-US" sz="1800" b="1" baseline="0">
                    <a:solidFill>
                      <a:schemeClr val="tx1"/>
                    </a:solidFill>
                  </a:rPr>
                  <a:t> profile, mM DM</a:t>
                </a:r>
                <a:endParaRPr lang="en-US" sz="18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"/>
              <c:y val="0.351556236035407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66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2674348079731654"/>
          <c:y val="6.4924108429438493E-2"/>
          <c:w val="0.26472160304829545"/>
          <c:h val="0.315008792604053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351381391419544E-2"/>
          <c:y val="2.1943585574580367E-2"/>
          <c:w val="0.85219685039370074"/>
          <c:h val="0.7695070690856693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'MCFA and LCFA DM'!$C$38</c:f>
              <c:strCache>
                <c:ptCount val="1"/>
                <c:pt idx="0">
                  <c:v>6:00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DM'!$C$39:$C$51</c:f>
              <c:numCache>
                <c:formatCode>General</c:formatCode>
                <c:ptCount val="13"/>
                <c:pt idx="0">
                  <c:v>21.978670124518501</c:v>
                </c:pt>
                <c:pt idx="1">
                  <c:v>27.723094380517502</c:v>
                </c:pt>
                <c:pt idx="2">
                  <c:v>28.259919496051701</c:v>
                </c:pt>
                <c:pt idx="3">
                  <c:v>28.445588330455202</c:v>
                </c:pt>
                <c:pt idx="4">
                  <c:v>29.643640156880899</c:v>
                </c:pt>
                <c:pt idx="5">
                  <c:v>35.111284876529901</c:v>
                </c:pt>
                <c:pt idx="6">
                  <c:v>36.980779975632899</c:v>
                </c:pt>
                <c:pt idx="7">
                  <c:v>44.674447776807497</c:v>
                </c:pt>
                <c:pt idx="8">
                  <c:v>40.346708453606098</c:v>
                </c:pt>
                <c:pt idx="9">
                  <c:v>1140.89974695251</c:v>
                </c:pt>
                <c:pt idx="10">
                  <c:v>1895.92109078269</c:v>
                </c:pt>
                <c:pt idx="11">
                  <c:v>1486.3868800243099</c:v>
                </c:pt>
                <c:pt idx="12">
                  <c:v>599.59684512253102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48-4518-B74C-00FC3DDD1E07}"/>
            </c:ext>
          </c:extLst>
        </c:ser>
        <c:ser>
          <c:idx val="1"/>
          <c:order val="1"/>
          <c:tx>
            <c:strRef>
              <c:f>'MCFA and LCFA DM'!$D$38</c:f>
              <c:strCache>
                <c:ptCount val="1"/>
                <c:pt idx="0">
                  <c:v>8:00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DM'!$D$39:$D$51</c:f>
              <c:numCache>
                <c:formatCode>General</c:formatCode>
                <c:ptCount val="13"/>
                <c:pt idx="0">
                  <c:v>34.263176819115401</c:v>
                </c:pt>
                <c:pt idx="1">
                  <c:v>266.83947270449301</c:v>
                </c:pt>
                <c:pt idx="2">
                  <c:v>104.79887642419099</c:v>
                </c:pt>
                <c:pt idx="3">
                  <c:v>159.48659539078301</c:v>
                </c:pt>
                <c:pt idx="4">
                  <c:v>25.1535005448828</c:v>
                </c:pt>
                <c:pt idx="5">
                  <c:v>170.78401672952799</c:v>
                </c:pt>
                <c:pt idx="6">
                  <c:v>292.87136430078198</c:v>
                </c:pt>
                <c:pt idx="7">
                  <c:v>374.83819529066398</c:v>
                </c:pt>
                <c:pt idx="8">
                  <c:v>185.95438401142201</c:v>
                </c:pt>
                <c:pt idx="9">
                  <c:v>2133.30143160326</c:v>
                </c:pt>
                <c:pt idx="10">
                  <c:v>2036.84327112346</c:v>
                </c:pt>
                <c:pt idx="11">
                  <c:v>2732.2077603893099</c:v>
                </c:pt>
                <c:pt idx="12">
                  <c:v>3124.6395718529302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48-4518-B74C-00FC3DDD1E07}"/>
            </c:ext>
          </c:extLst>
        </c:ser>
        <c:ser>
          <c:idx val="2"/>
          <c:order val="2"/>
          <c:tx>
            <c:strRef>
              <c:f>'MCFA and LCFA DM'!$E$38</c:f>
              <c:strCache>
                <c:ptCount val="1"/>
                <c:pt idx="0">
                  <c:v>10:00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DM'!$E$39:$E$51</c:f>
              <c:numCache>
                <c:formatCode>General</c:formatCode>
                <c:ptCount val="13"/>
                <c:pt idx="0">
                  <c:v>478.232313334389</c:v>
                </c:pt>
                <c:pt idx="1">
                  <c:v>1304.5985523367699</c:v>
                </c:pt>
                <c:pt idx="2">
                  <c:v>874.32894600160103</c:v>
                </c:pt>
                <c:pt idx="3">
                  <c:v>1497.7184475628801</c:v>
                </c:pt>
                <c:pt idx="4">
                  <c:v>150.615848150034</c:v>
                </c:pt>
                <c:pt idx="5">
                  <c:v>1441.5592994660699</c:v>
                </c:pt>
                <c:pt idx="6">
                  <c:v>1769.12768782181</c:v>
                </c:pt>
                <c:pt idx="7">
                  <c:v>2139.9238470938499</c:v>
                </c:pt>
                <c:pt idx="8">
                  <c:v>2366.6074235839601</c:v>
                </c:pt>
                <c:pt idx="9">
                  <c:v>7633.1625927060804</c:v>
                </c:pt>
                <c:pt idx="10">
                  <c:v>7252.3146355563304</c:v>
                </c:pt>
                <c:pt idx="11">
                  <c:v>9801.4637617849603</c:v>
                </c:pt>
                <c:pt idx="12">
                  <c:v>11735.780022414099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48-4518-B74C-00FC3DDD1E07}"/>
            </c:ext>
          </c:extLst>
        </c:ser>
        <c:ser>
          <c:idx val="3"/>
          <c:order val="3"/>
          <c:tx>
            <c:strRef>
              <c:f>'MCFA and LCFA DM'!$F$38</c:f>
              <c:strCache>
                <c:ptCount val="1"/>
                <c:pt idx="0">
                  <c:v>12:00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DM'!$F$39:$F$51</c:f>
              <c:numCache>
                <c:formatCode>General</c:formatCode>
                <c:ptCount val="13"/>
                <c:pt idx="0">
                  <c:v>1656.3675272590201</c:v>
                </c:pt>
                <c:pt idx="1">
                  <c:v>2722.1527706813099</c:v>
                </c:pt>
                <c:pt idx="2">
                  <c:v>1959.38121774758</c:v>
                </c:pt>
                <c:pt idx="3">
                  <c:v>3326.9278082574301</c:v>
                </c:pt>
                <c:pt idx="4">
                  <c:v>366.40411105674099</c:v>
                </c:pt>
                <c:pt idx="5">
                  <c:v>2947.0591218764998</c:v>
                </c:pt>
                <c:pt idx="6">
                  <c:v>3269.8497978177102</c:v>
                </c:pt>
                <c:pt idx="7">
                  <c:v>3623.7918595051801</c:v>
                </c:pt>
                <c:pt idx="8">
                  <c:v>4099.11905292347</c:v>
                </c:pt>
                <c:pt idx="9">
                  <c:v>13667.7073256941</c:v>
                </c:pt>
                <c:pt idx="10">
                  <c:v>12549.2777400584</c:v>
                </c:pt>
                <c:pt idx="11">
                  <c:v>15392.5651797225</c:v>
                </c:pt>
                <c:pt idx="12">
                  <c:v>17237.934932680098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48-4518-B74C-00FC3DDD1E07}"/>
            </c:ext>
          </c:extLst>
        </c:ser>
        <c:ser>
          <c:idx val="4"/>
          <c:order val="4"/>
          <c:tx>
            <c:strRef>
              <c:f>'MCFA and LCFA DM'!$G$38</c:f>
              <c:strCache>
                <c:ptCount val="1"/>
                <c:pt idx="0">
                  <c:v>14:00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DM'!$G$39:$G$51</c:f>
              <c:numCache>
                <c:formatCode>General</c:formatCode>
                <c:ptCount val="13"/>
                <c:pt idx="0">
                  <c:v>10669.5454119475</c:v>
                </c:pt>
                <c:pt idx="1">
                  <c:v>14694.140365740701</c:v>
                </c:pt>
                <c:pt idx="2">
                  <c:v>10772.536595379701</c:v>
                </c:pt>
                <c:pt idx="3">
                  <c:v>17693.197528660501</c:v>
                </c:pt>
                <c:pt idx="4">
                  <c:v>2058.48924736458</c:v>
                </c:pt>
                <c:pt idx="5">
                  <c:v>15121.9580253598</c:v>
                </c:pt>
                <c:pt idx="6">
                  <c:v>16150.342657957501</c:v>
                </c:pt>
                <c:pt idx="7">
                  <c:v>16875.6094939953</c:v>
                </c:pt>
                <c:pt idx="8">
                  <c:v>17788.5042320701</c:v>
                </c:pt>
                <c:pt idx="9">
                  <c:v>68741.926181857707</c:v>
                </c:pt>
                <c:pt idx="10">
                  <c:v>61686.545848783702</c:v>
                </c:pt>
                <c:pt idx="11">
                  <c:v>70845.772200051302</c:v>
                </c:pt>
                <c:pt idx="12">
                  <c:v>74344.790784674595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48-4518-B74C-00FC3DDD1E07}"/>
            </c:ext>
          </c:extLst>
        </c:ser>
        <c:ser>
          <c:idx val="5"/>
          <c:order val="5"/>
          <c:tx>
            <c:strRef>
              <c:f>'MCFA and LCFA DM'!$H$38</c:f>
              <c:strCache>
                <c:ptCount val="1"/>
                <c:pt idx="0">
                  <c:v>14:1c9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DM'!$H$39:$H$51</c:f>
              <c:numCache>
                <c:formatCode>General</c:formatCode>
                <c:ptCount val="13"/>
                <c:pt idx="0">
                  <c:v>800.37682115947496</c:v>
                </c:pt>
                <c:pt idx="1">
                  <c:v>1080.4128797819999</c:v>
                </c:pt>
                <c:pt idx="2">
                  <c:v>769.97225892940901</c:v>
                </c:pt>
                <c:pt idx="3">
                  <c:v>1403.44045232145</c:v>
                </c:pt>
                <c:pt idx="4">
                  <c:v>133.48356788289601</c:v>
                </c:pt>
                <c:pt idx="5">
                  <c:v>1121.61319455788</c:v>
                </c:pt>
                <c:pt idx="6">
                  <c:v>1180.4613746729401</c:v>
                </c:pt>
                <c:pt idx="7">
                  <c:v>1212.38026602797</c:v>
                </c:pt>
                <c:pt idx="8">
                  <c:v>1207.0057385402999</c:v>
                </c:pt>
                <c:pt idx="9">
                  <c:v>5072.4764939904398</c:v>
                </c:pt>
                <c:pt idx="10">
                  <c:v>4487.4484711068999</c:v>
                </c:pt>
                <c:pt idx="11">
                  <c:v>5079.78433120925</c:v>
                </c:pt>
                <c:pt idx="12">
                  <c:v>5050.0854534608097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48-4518-B74C-00FC3DDD1E07}"/>
            </c:ext>
          </c:extLst>
        </c:ser>
        <c:ser>
          <c:idx val="6"/>
          <c:order val="6"/>
          <c:tx>
            <c:strRef>
              <c:f>'MCFA and LCFA DM'!$I$38</c:f>
              <c:strCache>
                <c:ptCount val="1"/>
                <c:pt idx="0">
                  <c:v>15:00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DM'!$I$39:$I$51</c:f>
              <c:numCache>
                <c:formatCode>General</c:formatCode>
                <c:ptCount val="13"/>
                <c:pt idx="0">
                  <c:v>898.61362709102798</c:v>
                </c:pt>
                <c:pt idx="1">
                  <c:v>986.62703952315303</c:v>
                </c:pt>
                <c:pt idx="2">
                  <c:v>732.98914948934203</c:v>
                </c:pt>
                <c:pt idx="3">
                  <c:v>1022.00341114172</c:v>
                </c:pt>
                <c:pt idx="4">
                  <c:v>148.436168726734</c:v>
                </c:pt>
                <c:pt idx="5">
                  <c:v>1036.0994410999299</c:v>
                </c:pt>
                <c:pt idx="6">
                  <c:v>1163.5353588727201</c:v>
                </c:pt>
                <c:pt idx="7">
                  <c:v>1286.3037214461599</c:v>
                </c:pt>
                <c:pt idx="8">
                  <c:v>1479.77878232648</c:v>
                </c:pt>
                <c:pt idx="9">
                  <c:v>4765.0673955060201</c:v>
                </c:pt>
                <c:pt idx="10">
                  <c:v>4467.1880937416099</c:v>
                </c:pt>
                <c:pt idx="11">
                  <c:v>5433.3157337504199</c:v>
                </c:pt>
                <c:pt idx="12">
                  <c:v>6147.7651208765801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48-4518-B74C-00FC3DDD1E07}"/>
            </c:ext>
          </c:extLst>
        </c:ser>
        <c:ser>
          <c:idx val="7"/>
          <c:order val="7"/>
          <c:tx>
            <c:strRef>
              <c:f>'MCFA and LCFA DM'!$J$38</c:f>
              <c:strCache>
                <c:ptCount val="1"/>
                <c:pt idx="0">
                  <c:v>17:00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DM'!$J$39:$J$51</c:f>
              <c:numCache>
                <c:formatCode>General</c:formatCode>
                <c:ptCount val="13"/>
                <c:pt idx="0">
                  <c:v>733.03053999794895</c:v>
                </c:pt>
                <c:pt idx="1">
                  <c:v>1110.32840687568</c:v>
                </c:pt>
                <c:pt idx="2">
                  <c:v>676.42989615034298</c:v>
                </c:pt>
                <c:pt idx="3">
                  <c:v>955.64165054611306</c:v>
                </c:pt>
                <c:pt idx="4">
                  <c:v>184.00879032452099</c:v>
                </c:pt>
                <c:pt idx="5">
                  <c:v>1090.88800164852</c:v>
                </c:pt>
                <c:pt idx="6">
                  <c:v>1214.7000118615399</c:v>
                </c:pt>
                <c:pt idx="7">
                  <c:v>1364.7002756591401</c:v>
                </c:pt>
                <c:pt idx="8">
                  <c:v>1615.2843851061</c:v>
                </c:pt>
                <c:pt idx="9">
                  <c:v>4865.3865744341501</c:v>
                </c:pt>
                <c:pt idx="10">
                  <c:v>4539.5199416140904</c:v>
                </c:pt>
                <c:pt idx="11">
                  <c:v>5670.8600277936002</c:v>
                </c:pt>
                <c:pt idx="12">
                  <c:v>6625.4568308914004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A48-4518-B74C-00FC3DDD1E07}"/>
            </c:ext>
          </c:extLst>
        </c:ser>
        <c:ser>
          <c:idx val="8"/>
          <c:order val="8"/>
          <c:tx>
            <c:strRef>
              <c:f>'MCFA and LCFA DM'!$K$38</c:f>
              <c:strCache>
                <c:ptCount val="1"/>
                <c:pt idx="0">
                  <c:v>18:00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DM'!$K$39:$K$51</c:f>
              <c:numCache>
                <c:formatCode>General</c:formatCode>
                <c:ptCount val="13"/>
                <c:pt idx="0">
                  <c:v>4415.7711228579901</c:v>
                </c:pt>
                <c:pt idx="1">
                  <c:v>8760.9726394441604</c:v>
                </c:pt>
                <c:pt idx="2">
                  <c:v>7309.1006761400804</c:v>
                </c:pt>
                <c:pt idx="3">
                  <c:v>8564.2080848017795</c:v>
                </c:pt>
                <c:pt idx="4">
                  <c:v>1451.35631097034</c:v>
                </c:pt>
                <c:pt idx="5">
                  <c:v>10763.854334723001</c:v>
                </c:pt>
                <c:pt idx="6">
                  <c:v>12194.8375067092</c:v>
                </c:pt>
                <c:pt idx="7">
                  <c:v>14283.4933427093</c:v>
                </c:pt>
                <c:pt idx="8">
                  <c:v>18805.721497483901</c:v>
                </c:pt>
                <c:pt idx="9">
                  <c:v>49556.747816918898</c:v>
                </c:pt>
                <c:pt idx="10">
                  <c:v>46807.345512371401</c:v>
                </c:pt>
                <c:pt idx="11">
                  <c:v>61396.301590459101</c:v>
                </c:pt>
                <c:pt idx="12">
                  <c:v>78410.270906108504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A48-4518-B74C-00FC3DDD1E07}"/>
            </c:ext>
          </c:extLst>
        </c:ser>
        <c:ser>
          <c:idx val="9"/>
          <c:order val="9"/>
          <c:tx>
            <c:strRef>
              <c:f>'MCFA and LCFA DM'!$L$38</c:f>
              <c:strCache>
                <c:ptCount val="1"/>
                <c:pt idx="0">
                  <c:v>18:2n6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DM'!$L$39:$L$51</c:f>
              <c:numCache>
                <c:formatCode>General</c:formatCode>
                <c:ptCount val="13"/>
                <c:pt idx="0">
                  <c:v>1504.0474937710601</c:v>
                </c:pt>
                <c:pt idx="1">
                  <c:v>2845.4999077897601</c:v>
                </c:pt>
                <c:pt idx="2">
                  <c:v>2293.2341785081899</c:v>
                </c:pt>
                <c:pt idx="3">
                  <c:v>3146.64765414556</c:v>
                </c:pt>
                <c:pt idx="4">
                  <c:v>508.73717739823599</c:v>
                </c:pt>
                <c:pt idx="5">
                  <c:v>3381.8351986832399</c:v>
                </c:pt>
                <c:pt idx="6">
                  <c:v>3569.8506051373702</c:v>
                </c:pt>
                <c:pt idx="7">
                  <c:v>3854.8768184569299</c:v>
                </c:pt>
                <c:pt idx="8">
                  <c:v>4415.9006351384096</c:v>
                </c:pt>
                <c:pt idx="9">
                  <c:v>15188.9069882975</c:v>
                </c:pt>
                <c:pt idx="10">
                  <c:v>13488.9090191996</c:v>
                </c:pt>
                <c:pt idx="11">
                  <c:v>16117.0072775559</c:v>
                </c:pt>
                <c:pt idx="12">
                  <c:v>18116.458158286801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A48-4518-B74C-00FC3DDD1E07}"/>
            </c:ext>
          </c:extLst>
        </c:ser>
        <c:ser>
          <c:idx val="10"/>
          <c:order val="10"/>
          <c:tx>
            <c:strRef>
              <c:f>'MCFA and LCFA DM'!$M$38</c:f>
              <c:strCache>
                <c:ptCount val="1"/>
                <c:pt idx="0">
                  <c:v>18:3n6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DM'!$M$39:$M$51</c:f>
              <c:numCache>
                <c:formatCode>General</c:formatCode>
                <c:ptCount val="13"/>
                <c:pt idx="0">
                  <c:v>57.105294698525697</c:v>
                </c:pt>
                <c:pt idx="1">
                  <c:v>81.143508991961198</c:v>
                </c:pt>
                <c:pt idx="2">
                  <c:v>79.955874648146406</c:v>
                </c:pt>
                <c:pt idx="3">
                  <c:v>86.293268692535904</c:v>
                </c:pt>
                <c:pt idx="4">
                  <c:v>15.8244726131585</c:v>
                </c:pt>
                <c:pt idx="5">
                  <c:v>104.798176219545</c:v>
                </c:pt>
                <c:pt idx="6">
                  <c:v>114.943034570587</c:v>
                </c:pt>
                <c:pt idx="7">
                  <c:v>136.39648796664</c:v>
                </c:pt>
                <c:pt idx="8">
                  <c:v>147.47187990880701</c:v>
                </c:pt>
                <c:pt idx="9">
                  <c:v>455.90716078618101</c:v>
                </c:pt>
                <c:pt idx="10">
                  <c:v>441.22599595512798</c:v>
                </c:pt>
                <c:pt idx="11">
                  <c:v>465.58210580453903</c:v>
                </c:pt>
                <c:pt idx="12">
                  <c:v>494.28790555196002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A48-4518-B74C-00FC3DDD1E07}"/>
            </c:ext>
          </c:extLst>
        </c:ser>
        <c:ser>
          <c:idx val="11"/>
          <c:order val="11"/>
          <c:tx>
            <c:strRef>
              <c:f>'MCFA and LCFA DM'!$N$38</c:f>
              <c:strCache>
                <c:ptCount val="1"/>
                <c:pt idx="0">
                  <c:v>18:3n3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DM'!$N$39:$N$51</c:f>
              <c:numCache>
                <c:formatCode>General</c:formatCode>
                <c:ptCount val="13"/>
                <c:pt idx="0">
                  <c:v>526.15366373088398</c:v>
                </c:pt>
                <c:pt idx="1">
                  <c:v>442.21899398855197</c:v>
                </c:pt>
                <c:pt idx="2">
                  <c:v>353.06809805664602</c:v>
                </c:pt>
                <c:pt idx="3">
                  <c:v>488.274345888705</c:v>
                </c:pt>
                <c:pt idx="4">
                  <c:v>77.204245173288399</c:v>
                </c:pt>
                <c:pt idx="5">
                  <c:v>663.94904023107995</c:v>
                </c:pt>
                <c:pt idx="6">
                  <c:v>662.16625448740695</c:v>
                </c:pt>
                <c:pt idx="7">
                  <c:v>734.42893629362595</c:v>
                </c:pt>
                <c:pt idx="8">
                  <c:v>829.50435746448602</c:v>
                </c:pt>
                <c:pt idx="9">
                  <c:v>3011.1604035639398</c:v>
                </c:pt>
                <c:pt idx="10">
                  <c:v>2410.5346758609699</c:v>
                </c:pt>
                <c:pt idx="11">
                  <c:v>2964.0841136731001</c:v>
                </c:pt>
                <c:pt idx="12">
                  <c:v>3184.88387512078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A48-4518-B74C-00FC3DDD1E07}"/>
            </c:ext>
          </c:extLst>
        </c:ser>
        <c:ser>
          <c:idx val="12"/>
          <c:order val="12"/>
          <c:tx>
            <c:strRef>
              <c:f>'MCFA and LCFA DM'!$O$38</c:f>
              <c:strCache>
                <c:ptCount val="1"/>
                <c:pt idx="0">
                  <c:v>20:00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DM'!$O$39:$O$51</c:f>
              <c:numCache>
                <c:formatCode>General</c:formatCode>
                <c:ptCount val="13"/>
                <c:pt idx="0">
                  <c:v>130.69459199043999</c:v>
                </c:pt>
                <c:pt idx="1">
                  <c:v>193.42391694986199</c:v>
                </c:pt>
                <c:pt idx="2">
                  <c:v>173.257827920317</c:v>
                </c:pt>
                <c:pt idx="3">
                  <c:v>189.387732831715</c:v>
                </c:pt>
                <c:pt idx="4">
                  <c:v>34.526122065072997</c:v>
                </c:pt>
                <c:pt idx="5">
                  <c:v>220.309920639974</c:v>
                </c:pt>
                <c:pt idx="6">
                  <c:v>259.68611514095602</c:v>
                </c:pt>
                <c:pt idx="7">
                  <c:v>295.57516444097598</c:v>
                </c:pt>
                <c:pt idx="8">
                  <c:v>342.48097076790401</c:v>
                </c:pt>
                <c:pt idx="9">
                  <c:v>986.063352723241</c:v>
                </c:pt>
                <c:pt idx="10">
                  <c:v>996.36033576397801</c:v>
                </c:pt>
                <c:pt idx="11">
                  <c:v>1094.8954433163699</c:v>
                </c:pt>
                <c:pt idx="12">
                  <c:v>1256.11744136429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A48-4518-B74C-00FC3DDD1E07}"/>
            </c:ext>
          </c:extLst>
        </c:ser>
        <c:ser>
          <c:idx val="13"/>
          <c:order val="13"/>
          <c:tx>
            <c:strRef>
              <c:f>'MCFA and LCFA DM'!$P$38</c:f>
              <c:strCache>
                <c:ptCount val="1"/>
                <c:pt idx="0">
                  <c:v>20:1c5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DM'!$P$39:$P$51</c:f>
              <c:numCache>
                <c:formatCode>General</c:formatCode>
                <c:ptCount val="13"/>
                <c:pt idx="0">
                  <c:v>14.6393642079382</c:v>
                </c:pt>
                <c:pt idx="1">
                  <c:v>22.508601662125098</c:v>
                </c:pt>
                <c:pt idx="2">
                  <c:v>21.627079216039601</c:v>
                </c:pt>
                <c:pt idx="3">
                  <c:v>16.4684985071056</c:v>
                </c:pt>
                <c:pt idx="4">
                  <c:v>4.4029524350661404</c:v>
                </c:pt>
                <c:pt idx="5">
                  <c:v>20.940156028998398</c:v>
                </c:pt>
                <c:pt idx="6">
                  <c:v>20.3625099172347</c:v>
                </c:pt>
                <c:pt idx="7">
                  <c:v>25.570633455250999</c:v>
                </c:pt>
                <c:pt idx="8">
                  <c:v>26.032282187062702</c:v>
                </c:pt>
                <c:pt idx="9">
                  <c:v>101.86604883504501</c:v>
                </c:pt>
                <c:pt idx="10">
                  <c:v>72.036897298796404</c:v>
                </c:pt>
                <c:pt idx="11">
                  <c:v>72.261269859643605</c:v>
                </c:pt>
                <c:pt idx="12">
                  <c:v>74.000876454995904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A48-4518-B74C-00FC3DDD1E07}"/>
            </c:ext>
          </c:extLst>
        </c:ser>
        <c:ser>
          <c:idx val="14"/>
          <c:order val="14"/>
          <c:tx>
            <c:strRef>
              <c:f>'MCFA and LCFA DM'!$Q$38</c:f>
              <c:strCache>
                <c:ptCount val="1"/>
                <c:pt idx="0">
                  <c:v>20:1c8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DM'!$Q$39:$Q$51</c:f>
              <c:numCache>
                <c:formatCode>General</c:formatCode>
                <c:ptCount val="13"/>
                <c:pt idx="0">
                  <c:v>74.688230798140495</c:v>
                </c:pt>
                <c:pt idx="1">
                  <c:v>116.181898912669</c:v>
                </c:pt>
                <c:pt idx="2">
                  <c:v>102.587929664187</c:v>
                </c:pt>
                <c:pt idx="3">
                  <c:v>112.45156556367</c:v>
                </c:pt>
                <c:pt idx="4">
                  <c:v>19.5735212212346</c:v>
                </c:pt>
                <c:pt idx="5">
                  <c:v>134.50397895835701</c:v>
                </c:pt>
                <c:pt idx="6">
                  <c:v>148.179574687383</c:v>
                </c:pt>
                <c:pt idx="7">
                  <c:v>168.49326917149099</c:v>
                </c:pt>
                <c:pt idx="8">
                  <c:v>194.67619722499001</c:v>
                </c:pt>
                <c:pt idx="9">
                  <c:v>617.98736293261004</c:v>
                </c:pt>
                <c:pt idx="10">
                  <c:v>574.94448656601901</c:v>
                </c:pt>
                <c:pt idx="11">
                  <c:v>664.98662263241704</c:v>
                </c:pt>
                <c:pt idx="12">
                  <c:v>767.04754633159303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A48-4518-B74C-00FC3DDD1E07}"/>
            </c:ext>
          </c:extLst>
        </c:ser>
        <c:ser>
          <c:idx val="15"/>
          <c:order val="15"/>
          <c:tx>
            <c:strRef>
              <c:f>'MCFA and LCFA DM'!$R$38</c:f>
              <c:strCache>
                <c:ptCount val="1"/>
                <c:pt idx="0">
                  <c:v>20:1c11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DM'!$R$39:$R$51</c:f>
              <c:numCache>
                <c:formatCode>General</c:formatCode>
                <c:ptCount val="13"/>
                <c:pt idx="0">
                  <c:v>63.6596481106589</c:v>
                </c:pt>
                <c:pt idx="1">
                  <c:v>92.285266814713196</c:v>
                </c:pt>
                <c:pt idx="2">
                  <c:v>83.453190432152795</c:v>
                </c:pt>
                <c:pt idx="3">
                  <c:v>81.344401716915797</c:v>
                </c:pt>
                <c:pt idx="4">
                  <c:v>17.393841797934499</c:v>
                </c:pt>
                <c:pt idx="5">
                  <c:v>108.499227052577</c:v>
                </c:pt>
                <c:pt idx="6">
                  <c:v>121.969895675527</c:v>
                </c:pt>
                <c:pt idx="7">
                  <c:v>140.25284800049499</c:v>
                </c:pt>
                <c:pt idx="8">
                  <c:v>158.39079110747301</c:v>
                </c:pt>
                <c:pt idx="9">
                  <c:v>517.02679008720895</c:v>
                </c:pt>
                <c:pt idx="10">
                  <c:v>480.846289469466</c:v>
                </c:pt>
                <c:pt idx="11">
                  <c:v>552.47856955980706</c:v>
                </c:pt>
                <c:pt idx="12">
                  <c:v>620.46888719958099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A48-4518-B74C-00FC3DDD1E07}"/>
            </c:ext>
          </c:extLst>
        </c:ser>
        <c:ser>
          <c:idx val="16"/>
          <c:order val="16"/>
          <c:tx>
            <c:strRef>
              <c:f>'MCFA and LCFA DM'!$S$38</c:f>
              <c:strCache>
                <c:ptCount val="1"/>
                <c:pt idx="0">
                  <c:v>20:2n6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DM'!$S$39:$S$51</c:f>
              <c:numCache>
                <c:formatCode>General</c:formatCode>
                <c:ptCount val="13"/>
                <c:pt idx="0">
                  <c:v>38.3841774674626</c:v>
                </c:pt>
                <c:pt idx="1">
                  <c:v>55.071045399999598</c:v>
                </c:pt>
                <c:pt idx="2">
                  <c:v>44.902318744082201</c:v>
                </c:pt>
                <c:pt idx="3">
                  <c:v>56.641653956257301</c:v>
                </c:pt>
                <c:pt idx="4">
                  <c:v>10.070118935646301</c:v>
                </c:pt>
                <c:pt idx="5">
                  <c:v>67.349385553732105</c:v>
                </c:pt>
                <c:pt idx="6">
                  <c:v>75.089961004613798</c:v>
                </c:pt>
                <c:pt idx="7">
                  <c:v>82.763419188109594</c:v>
                </c:pt>
                <c:pt idx="8">
                  <c:v>95.207579354219106</c:v>
                </c:pt>
                <c:pt idx="9">
                  <c:v>264.39898897629598</c:v>
                </c:pt>
                <c:pt idx="10">
                  <c:v>269.68813426236898</c:v>
                </c:pt>
                <c:pt idx="11">
                  <c:v>287.67303001085997</c:v>
                </c:pt>
                <c:pt idx="12">
                  <c:v>300.272787153926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A48-4518-B74C-00FC3DDD1E07}"/>
            </c:ext>
          </c:extLst>
        </c:ser>
        <c:ser>
          <c:idx val="17"/>
          <c:order val="17"/>
          <c:tx>
            <c:strRef>
              <c:f>'MCFA and LCFA DM'!$T$38</c:f>
              <c:strCache>
                <c:ptCount val="1"/>
                <c:pt idx="0">
                  <c:v>22:00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DM'!$T$39:$T$51</c:f>
              <c:numCache>
                <c:formatCode>General</c:formatCode>
                <c:ptCount val="13"/>
                <c:pt idx="0">
                  <c:v>70.998954027239193</c:v>
                </c:pt>
                <c:pt idx="1">
                  <c:v>79.868021564440795</c:v>
                </c:pt>
                <c:pt idx="2">
                  <c:v>71.634675024131099</c:v>
                </c:pt>
                <c:pt idx="3">
                  <c:v>81.261227482031401</c:v>
                </c:pt>
                <c:pt idx="4">
                  <c:v>34.133779768879002</c:v>
                </c:pt>
                <c:pt idx="5">
                  <c:v>95.983831472455506</c:v>
                </c:pt>
                <c:pt idx="6">
                  <c:v>99.8122022643295</c:v>
                </c:pt>
                <c:pt idx="7">
                  <c:v>117.94528842004399</c:v>
                </c:pt>
                <c:pt idx="8">
                  <c:v>125.034848970086</c:v>
                </c:pt>
                <c:pt idx="9">
                  <c:v>406.55871935053699</c:v>
                </c:pt>
                <c:pt idx="10">
                  <c:v>374.59186595374098</c:v>
                </c:pt>
                <c:pt idx="11">
                  <c:v>419.38977507147598</c:v>
                </c:pt>
                <c:pt idx="12">
                  <c:v>451.12072761987901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A48-4518-B74C-00FC3DDD1E07}"/>
            </c:ext>
          </c:extLst>
        </c:ser>
        <c:ser>
          <c:idx val="18"/>
          <c:order val="18"/>
          <c:tx>
            <c:strRef>
              <c:f>'MCFA and LCFA DM'!$U$38</c:f>
              <c:strCache>
                <c:ptCount val="1"/>
                <c:pt idx="0">
                  <c:v>20:3n6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DM'!$U$39:$U$51</c:f>
              <c:numCache>
                <c:formatCode>General</c:formatCode>
                <c:ptCount val="13"/>
                <c:pt idx="0">
                  <c:v>202.43925089690401</c:v>
                </c:pt>
                <c:pt idx="1">
                  <c:v>411.30718103923402</c:v>
                </c:pt>
                <c:pt idx="2">
                  <c:v>298.47781260054597</c:v>
                </c:pt>
                <c:pt idx="3">
                  <c:v>398.820456270563</c:v>
                </c:pt>
                <c:pt idx="4">
                  <c:v>83.525315500858596</c:v>
                </c:pt>
                <c:pt idx="5">
                  <c:v>370.83555386237799</c:v>
                </c:pt>
                <c:pt idx="6">
                  <c:v>380.52760976313499</c:v>
                </c:pt>
                <c:pt idx="7">
                  <c:v>387.29720463080901</c:v>
                </c:pt>
                <c:pt idx="8">
                  <c:v>364.51852934569899</c:v>
                </c:pt>
                <c:pt idx="9">
                  <c:v>1571.90631802345</c:v>
                </c:pt>
                <c:pt idx="10">
                  <c:v>1396.6153463804101</c:v>
                </c:pt>
                <c:pt idx="11">
                  <c:v>1451.6282945221999</c:v>
                </c:pt>
                <c:pt idx="12">
                  <c:v>1332.9645053752399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A48-4518-B74C-00FC3DDD1E07}"/>
            </c:ext>
          </c:extLst>
        </c:ser>
        <c:ser>
          <c:idx val="19"/>
          <c:order val="19"/>
          <c:tx>
            <c:strRef>
              <c:f>'MCFA and LCFA DM'!$V$38</c:f>
              <c:strCache>
                <c:ptCount val="1"/>
                <c:pt idx="0">
                  <c:v>20:5n3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DM'!$V$39:$V$51</c:f>
              <c:numCache>
                <c:formatCode>General</c:formatCode>
                <c:ptCount val="13"/>
                <c:pt idx="0">
                  <c:v>204.51937503368899</c:v>
                </c:pt>
                <c:pt idx="1">
                  <c:v>182.43221647152399</c:v>
                </c:pt>
                <c:pt idx="2">
                  <c:v>130.84784916023901</c:v>
                </c:pt>
                <c:pt idx="3">
                  <c:v>167.388147704798</c:v>
                </c:pt>
                <c:pt idx="4">
                  <c:v>36.357052780645098</c:v>
                </c:pt>
                <c:pt idx="5">
                  <c:v>192.016360982187</c:v>
                </c:pt>
                <c:pt idx="6">
                  <c:v>190.289450360052</c:v>
                </c:pt>
                <c:pt idx="7">
                  <c:v>211.03188677570299</c:v>
                </c:pt>
                <c:pt idx="8">
                  <c:v>175.76783880778899</c:v>
                </c:pt>
                <c:pt idx="9">
                  <c:v>908.19241761378396</c:v>
                </c:pt>
                <c:pt idx="10">
                  <c:v>703.71044048761701</c:v>
                </c:pt>
                <c:pt idx="11">
                  <c:v>797.16071750227104</c:v>
                </c:pt>
                <c:pt idx="12">
                  <c:v>694.94412824723702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A48-4518-B74C-00FC3DDD1E07}"/>
            </c:ext>
          </c:extLst>
        </c:ser>
        <c:ser>
          <c:idx val="20"/>
          <c:order val="20"/>
          <c:tx>
            <c:strRef>
              <c:f>'MCFA and LCFA DM'!$W$38</c:f>
              <c:strCache>
                <c:ptCount val="1"/>
                <c:pt idx="0">
                  <c:v>24:1n9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DM'!$W$39:$W$51</c:f>
              <c:numCache>
                <c:formatCode>General</c:formatCode>
                <c:ptCount val="13"/>
                <c:pt idx="0">
                  <c:v>29.945938044656401</c:v>
                </c:pt>
                <c:pt idx="1">
                  <c:v>26.522635625204099</c:v>
                </c:pt>
                <c:pt idx="2">
                  <c:v>30.1492740000552</c:v>
                </c:pt>
                <c:pt idx="3">
                  <c:v>30.3170086153536</c:v>
                </c:pt>
                <c:pt idx="4">
                  <c:v>12.293391947412299</c:v>
                </c:pt>
                <c:pt idx="5">
                  <c:v>29.559708626981401</c:v>
                </c:pt>
                <c:pt idx="6">
                  <c:v>27.132916237322799</c:v>
                </c:pt>
                <c:pt idx="7">
                  <c:v>42.123317292872898</c:v>
                </c:pt>
                <c:pt idx="8">
                  <c:v>26.498333274810602</c:v>
                </c:pt>
                <c:pt idx="9">
                  <c:v>117.71187865383</c:v>
                </c:pt>
                <c:pt idx="10">
                  <c:v>101.301886826432</c:v>
                </c:pt>
                <c:pt idx="11">
                  <c:v>117.53890097423</c:v>
                </c:pt>
                <c:pt idx="12">
                  <c:v>109.10385631185299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A48-4518-B74C-00FC3DDD1E07}"/>
            </c:ext>
          </c:extLst>
        </c:ser>
        <c:ser>
          <c:idx val="21"/>
          <c:order val="21"/>
          <c:tx>
            <c:strRef>
              <c:f>'MCFA and LCFA DM'!$X$38</c:f>
              <c:strCache>
                <c:ptCount val="1"/>
                <c:pt idx="0">
                  <c:v>22:4n6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DM'!$X$39:$X$51</c:f>
              <c:numCache>
                <c:formatCode>General</c:formatCode>
                <c:ptCount val="13"/>
                <c:pt idx="0">
                  <c:v>29.985185669878799</c:v>
                </c:pt>
                <c:pt idx="1">
                  <c:v>79.943050236647906</c:v>
                </c:pt>
                <c:pt idx="2">
                  <c:v>52.540134824096199</c:v>
                </c:pt>
                <c:pt idx="3">
                  <c:v>67.703827195878802</c:v>
                </c:pt>
                <c:pt idx="4">
                  <c:v>16.652750794012501</c:v>
                </c:pt>
                <c:pt idx="5">
                  <c:v>77.381181232740602</c:v>
                </c:pt>
                <c:pt idx="6">
                  <c:v>81.655203496820405</c:v>
                </c:pt>
                <c:pt idx="7">
                  <c:v>92.018683269360494</c:v>
                </c:pt>
                <c:pt idx="8">
                  <c:v>83.756038340984304</c:v>
                </c:pt>
                <c:pt idx="9">
                  <c:v>349.06099400808898</c:v>
                </c:pt>
                <c:pt idx="10">
                  <c:v>308.407966560472</c:v>
                </c:pt>
                <c:pt idx="11">
                  <c:v>352.15935311345299</c:v>
                </c:pt>
                <c:pt idx="12">
                  <c:v>328.26029812087899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A48-4518-B74C-00FC3DDD1E07}"/>
            </c:ext>
          </c:extLst>
        </c:ser>
        <c:ser>
          <c:idx val="22"/>
          <c:order val="22"/>
          <c:tx>
            <c:strRef>
              <c:f>'MCFA and LCFA DM'!$Y$38</c:f>
              <c:strCache>
                <c:ptCount val="1"/>
                <c:pt idx="0">
                  <c:v>22:5n6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DM'!$Y$39:$Y$51</c:f>
              <c:numCache>
                <c:formatCode>General</c:formatCode>
                <c:ptCount val="13"/>
                <c:pt idx="0">
                  <c:v>9.7726586803662592</c:v>
                </c:pt>
                <c:pt idx="1">
                  <c:v>18.194453010217799</c:v>
                </c:pt>
                <c:pt idx="2">
                  <c:v>10.612544448019399</c:v>
                </c:pt>
                <c:pt idx="3">
                  <c:v>13.224703346615099</c:v>
                </c:pt>
                <c:pt idx="4">
                  <c:v>4.4029524350661404</c:v>
                </c:pt>
                <c:pt idx="5">
                  <c:v>17.677387531456802</c:v>
                </c:pt>
                <c:pt idx="6">
                  <c:v>18.823781208123801</c:v>
                </c:pt>
                <c:pt idx="7">
                  <c:v>17.620598923920099</c:v>
                </c:pt>
                <c:pt idx="8">
                  <c:v>20.239932953624201</c:v>
                </c:pt>
                <c:pt idx="9">
                  <c:v>90.094860969662506</c:v>
                </c:pt>
                <c:pt idx="10">
                  <c:v>72.487127906913898</c:v>
                </c:pt>
                <c:pt idx="11">
                  <c:v>80.950916235170396</c:v>
                </c:pt>
                <c:pt idx="12">
                  <c:v>92.501095568744901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A48-4518-B74C-00FC3DDD1E07}"/>
            </c:ext>
          </c:extLst>
        </c:ser>
        <c:ser>
          <c:idx val="23"/>
          <c:order val="23"/>
          <c:tx>
            <c:strRef>
              <c:f>'MCFA and LCFA DM'!$Z$38</c:f>
              <c:strCache>
                <c:ptCount val="1"/>
                <c:pt idx="0">
                  <c:v>22:5n3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DM'!$Z$39:$Z$51</c:f>
              <c:numCache>
                <c:formatCode>General</c:formatCode>
                <c:ptCount val="13"/>
                <c:pt idx="0">
                  <c:v>341.33659655881598</c:v>
                </c:pt>
                <c:pt idx="1">
                  <c:v>409.05632087302098</c:v>
                </c:pt>
                <c:pt idx="2">
                  <c:v>236.531104288433</c:v>
                </c:pt>
                <c:pt idx="3">
                  <c:v>353.116214201601</c:v>
                </c:pt>
                <c:pt idx="4">
                  <c:v>80.517357896704496</c:v>
                </c:pt>
                <c:pt idx="5">
                  <c:v>362.99516986082301</c:v>
                </c:pt>
                <c:pt idx="6">
                  <c:v>365.39677745687698</c:v>
                </c:pt>
                <c:pt idx="7">
                  <c:v>340.36826944959398</c:v>
                </c:pt>
                <c:pt idx="8">
                  <c:v>297.606908890461</c:v>
                </c:pt>
                <c:pt idx="9">
                  <c:v>1548.3639422926899</c:v>
                </c:pt>
                <c:pt idx="10">
                  <c:v>1316.9245287436199</c:v>
                </c:pt>
                <c:pt idx="11">
                  <c:v>1397.6610170320901</c:v>
                </c:pt>
                <c:pt idx="12">
                  <c:v>1170.73181468544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A48-4518-B74C-00FC3DDD1E07}"/>
            </c:ext>
          </c:extLst>
        </c:ser>
        <c:ser>
          <c:idx val="24"/>
          <c:order val="24"/>
          <c:tx>
            <c:strRef>
              <c:f>'MCFA and LCFA DM'!$AA$38</c:f>
              <c:strCache>
                <c:ptCount val="1"/>
                <c:pt idx="0">
                  <c:v>22:6n3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'MCFA and LCFA DM'!$A$39:$A$51</c:f>
              <c:strCache>
                <c:ptCount val="13"/>
                <c:pt idx="0">
                  <c:v>Beef colostrum</c:v>
                </c:pt>
                <c:pt idx="1">
                  <c:v>Dairy Farm 1 - Summit</c:v>
                </c:pt>
                <c:pt idx="2">
                  <c:v>Dairy Farm 2 - Walker</c:v>
                </c:pt>
                <c:pt idx="3">
                  <c:v>Dairy Farm 3 - Elora</c:v>
                </c:pt>
                <c:pt idx="4">
                  <c:v>Defatted Colostrum</c:v>
                </c:pt>
                <c:pt idx="5">
                  <c:v>SCCL A - Pre trt</c:v>
                </c:pt>
                <c:pt idx="6">
                  <c:v>SCCL B - Pre trt</c:v>
                </c:pt>
                <c:pt idx="7">
                  <c:v>SCCL C - Pre trt</c:v>
                </c:pt>
                <c:pt idx="8">
                  <c:v>SCCL D - Pre trt</c:v>
                </c:pt>
                <c:pt idx="9">
                  <c:v>SCCL A - Dried</c:v>
                </c:pt>
                <c:pt idx="10">
                  <c:v>SCCL B - Dried</c:v>
                </c:pt>
                <c:pt idx="11">
                  <c:v>SCCL C - Dried</c:v>
                </c:pt>
                <c:pt idx="12">
                  <c:v>SCCL D - Dried</c:v>
                </c:pt>
              </c:strCache>
            </c:strRef>
          </c:cat>
          <c:val>
            <c:numRef>
              <c:f>'MCFA and LCFA DM'!$AA$39:$AA$51</c:f>
              <c:numCache>
                <c:formatCode>General</c:formatCode>
                <c:ptCount val="13"/>
                <c:pt idx="0">
                  <c:v>61.618771599096497</c:v>
                </c:pt>
                <c:pt idx="1">
                  <c:v>63.811885712124798</c:v>
                </c:pt>
                <c:pt idx="2">
                  <c:v>35.133953968064297</c:v>
                </c:pt>
                <c:pt idx="3">
                  <c:v>72.777455523825495</c:v>
                </c:pt>
                <c:pt idx="4">
                  <c:v>14.124322662984399</c:v>
                </c:pt>
                <c:pt idx="5">
                  <c:v>54.200915489012097</c:v>
                </c:pt>
                <c:pt idx="6">
                  <c:v>54.881323958290103</c:v>
                </c:pt>
                <c:pt idx="7">
                  <c:v>49.480065665149397</c:v>
                </c:pt>
                <c:pt idx="8">
                  <c:v>42.077755350955499</c:v>
                </c:pt>
                <c:pt idx="9">
                  <c:v>241.30935124035199</c:v>
                </c:pt>
                <c:pt idx="10">
                  <c:v>199.00192878792501</c:v>
                </c:pt>
                <c:pt idx="11">
                  <c:v>212.66766129578599</c:v>
                </c:pt>
                <c:pt idx="12">
                  <c:v>174.09180550630401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3A48-4518-B74C-00FC3DDD1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8045168"/>
        <c:axId val="1618048080"/>
      </c:barChart>
      <c:catAx>
        <c:axId val="161804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2100000" spcFirstLastPara="1" vertOverflow="ellipsis" wrap="square" anchor="ctr" anchorCtr="0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048080"/>
        <c:crosses val="autoZero"/>
        <c:auto val="1"/>
        <c:lblAlgn val="ctr"/>
        <c:lblOffset val="20"/>
        <c:noMultiLvlLbl val="0"/>
      </c:catAx>
      <c:valAx>
        <c:axId val="1618048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solidFill>
                      <a:sysClr val="windowText" lastClr="000000"/>
                    </a:solidFill>
                  </a:rPr>
                  <a:t>FA profile, mM DM</a:t>
                </a:r>
              </a:p>
            </c:rich>
          </c:tx>
          <c:layout>
            <c:manualLayout>
              <c:xMode val="edge"/>
              <c:yMode val="edge"/>
              <c:x val="0"/>
              <c:y val="0.28734623812957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04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901232688286841"/>
          <c:y val="7.917623642034341E-2"/>
          <c:w val="0.32906044050639949"/>
          <c:h val="0.345369808508936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gif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457199</xdr:colOff>
      <xdr:row>2</xdr:row>
      <xdr:rowOff>76200</xdr:rowOff>
    </xdr:from>
    <xdr:to>
      <xdr:col>25</xdr:col>
      <xdr:colOff>66674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20D0ED-4885-494D-A2C1-9F6B8EDB9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380755</xdr:colOff>
      <xdr:row>0</xdr:row>
      <xdr:rowOff>0</xdr:rowOff>
    </xdr:from>
    <xdr:to>
      <xdr:col>8</xdr:col>
      <xdr:colOff>69605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5BCB73-C370-4912-B2FB-E11AB65A36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476250</xdr:colOff>
      <xdr:row>17</xdr:row>
      <xdr:rowOff>152400</xdr:rowOff>
    </xdr:from>
    <xdr:to>
      <xdr:col>11</xdr:col>
      <xdr:colOff>282086</xdr:colOff>
      <xdr:row>36</xdr:row>
      <xdr:rowOff>139212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E8A7B2-5293-4EC2-8FB0-2ABD82464B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476248</xdr:colOff>
      <xdr:row>5</xdr:row>
      <xdr:rowOff>161925</xdr:rowOff>
    </xdr:from>
    <xdr:to>
      <xdr:col>21</xdr:col>
      <xdr:colOff>609599</xdr:colOff>
      <xdr:row>30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518640-2531-40D5-B7A4-9CD2D4E7CF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504825</xdr:colOff>
      <xdr:row>36</xdr:row>
      <xdr:rowOff>23812</xdr:rowOff>
    </xdr:from>
    <xdr:to>
      <xdr:col>13</xdr:col>
      <xdr:colOff>200025</xdr:colOff>
      <xdr:row>50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B4F078-9CB7-4652-94DB-240B96FFD0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222249</xdr:colOff>
      <xdr:row>16</xdr:row>
      <xdr:rowOff>169861</xdr:rowOff>
    </xdr:from>
    <xdr:to>
      <xdr:col>11</xdr:col>
      <xdr:colOff>1260474</xdr:colOff>
      <xdr:row>35</xdr:row>
      <xdr:rowOff>22224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EE4A89-217C-4F68-A006-7BD4A6CEEA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466725</xdr:colOff>
      <xdr:row>17</xdr:row>
      <xdr:rowOff>0</xdr:rowOff>
    </xdr:from>
    <xdr:to>
      <xdr:col>21</xdr:col>
      <xdr:colOff>123824</xdr:colOff>
      <xdr:row>35</xdr:row>
      <xdr:rowOff>22224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4BBE49-4D4F-40CC-9097-3FA6F4485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19049</xdr:colOff>
      <xdr:row>40</xdr:row>
      <xdr:rowOff>23811</xdr:rowOff>
    </xdr:from>
    <xdr:to>
      <xdr:col>11</xdr:col>
      <xdr:colOff>809624</xdr:colOff>
      <xdr:row>56</xdr:row>
      <xdr:rowOff>161924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363403-8D66-4541-9840-384F41D12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523874</xdr:colOff>
      <xdr:row>60</xdr:row>
      <xdr:rowOff>133350</xdr:rowOff>
    </xdr:from>
    <xdr:to>
      <xdr:col>17</xdr:col>
      <xdr:colOff>266699</xdr:colOff>
      <xdr:row>87</xdr:row>
      <xdr:rowOff>100012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17D2C3C-51E7-44A2-A472-1F06155E51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47625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49D646-11E1-432F-8E2E-C430199C5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5</xdr:col>
      <xdr:colOff>180974</xdr:colOff>
      <xdr:row>34</xdr:row>
      <xdr:rowOff>42862</xdr:rowOff>
    </xdr:from>
    <xdr:to>
      <xdr:col>15</xdr:col>
      <xdr:colOff>342899</xdr:colOff>
      <xdr:row>57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1E90A3-7155-41E4-9731-0B46E4B23F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9525</xdr:colOff>
      <xdr:row>59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4BC045-83AC-4B2F-9300-549B02213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1775" y="1126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9525</xdr:colOff>
      <xdr:row>63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96DB14-6A52-408D-9C02-62AABEBDA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177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952499</xdr:colOff>
      <xdr:row>63</xdr:row>
      <xdr:rowOff>114300</xdr:rowOff>
    </xdr:from>
    <xdr:to>
      <xdr:col>9</xdr:col>
      <xdr:colOff>676274</xdr:colOff>
      <xdr:row>80</xdr:row>
      <xdr:rowOff>4762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33E174-6D10-4E2B-82A7-BECB04D258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9525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B5BA98-4BC7-41EE-BE60-71C9E1DAB4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5</xdr:col>
      <xdr:colOff>1038224</xdr:colOff>
      <xdr:row>30</xdr:row>
      <xdr:rowOff>147637</xdr:rowOff>
    </xdr:from>
    <xdr:to>
      <xdr:col>16</xdr:col>
      <xdr:colOff>457200</xdr:colOff>
      <xdr:row>55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914078-24FF-4F5B-897A-508B9A2C8D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561975</xdr:colOff>
      <xdr:row>78</xdr:row>
      <xdr:rowOff>176212</xdr:rowOff>
    </xdr:from>
    <xdr:to>
      <xdr:col>11</xdr:col>
      <xdr:colOff>228600</xdr:colOff>
      <xdr:row>93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B529C3-B6A0-45A4-9DC9-0424BB27D3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596900</xdr:colOff>
      <xdr:row>0</xdr:row>
      <xdr:rowOff>26987</xdr:rowOff>
    </xdr:from>
    <xdr:to>
      <xdr:col>20</xdr:col>
      <xdr:colOff>76200</xdr:colOff>
      <xdr:row>19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92A8A2-B78F-4A2D-864D-5D9F03DFCB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1143000</xdr:colOff>
      <xdr:row>32</xdr:row>
      <xdr:rowOff>142875</xdr:rowOff>
    </xdr:from>
    <xdr:to>
      <xdr:col>11</xdr:col>
      <xdr:colOff>390525</xdr:colOff>
      <xdr:row>50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40727B-8235-43F1-904B-CF8B46BFD0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4</xdr:row>
      <xdr:rowOff>73025</xdr:rowOff>
    </xdr:from>
    <xdr:to>
      <xdr:col>20</xdr:col>
      <xdr:colOff>466725</xdr:colOff>
      <xdr:row>32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3482E6-BB04-4FEF-915A-2A7BF24DE4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180974</xdr:colOff>
      <xdr:row>37</xdr:row>
      <xdr:rowOff>180975</xdr:rowOff>
    </xdr:from>
    <xdr:to>
      <xdr:col>15</xdr:col>
      <xdr:colOff>304799</xdr:colOff>
      <xdr:row>57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72429E-82AD-4D25-B865-25019A2988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638175</xdr:colOff>
      <xdr:row>29</xdr:row>
      <xdr:rowOff>6350</xdr:rowOff>
    </xdr:from>
    <xdr:to>
      <xdr:col>15</xdr:col>
      <xdr:colOff>381000</xdr:colOff>
      <xdr:row>52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2B4154-A106-40F2-9727-2AC3BF31F4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190500</xdr:colOff>
      <xdr:row>54</xdr:row>
      <xdr:rowOff>23812</xdr:rowOff>
    </xdr:from>
    <xdr:to>
      <xdr:col>13</xdr:col>
      <xdr:colOff>495300</xdr:colOff>
      <xdr:row>67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39C9BB-F058-4383-B31F-0397FB506F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277812</xdr:colOff>
      <xdr:row>46</xdr:row>
      <xdr:rowOff>69849</xdr:rowOff>
    </xdr:from>
    <xdr:to>
      <xdr:col>6</xdr:col>
      <xdr:colOff>1149350</xdr:colOff>
      <xdr:row>72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2E88F6-B3B8-4955-BCAA-014979340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1255712</xdr:colOff>
      <xdr:row>46</xdr:row>
      <xdr:rowOff>0</xdr:rowOff>
    </xdr:from>
    <xdr:to>
      <xdr:col>15</xdr:col>
      <xdr:colOff>71437</xdr:colOff>
      <xdr:row>72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EE9EE4-B7E9-4E17-9F95-FAFCFE219E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1774827</xdr:colOff>
      <xdr:row>21</xdr:row>
      <xdr:rowOff>7937</xdr:rowOff>
    </xdr:from>
    <xdr:to>
      <xdr:col>20</xdr:col>
      <xdr:colOff>972806</xdr:colOff>
      <xdr:row>41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75F540-0BDC-4217-AD3C-9CB26131E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476249</xdr:colOff>
      <xdr:row>49</xdr:row>
      <xdr:rowOff>111125</xdr:rowOff>
    </xdr:from>
    <xdr:to>
      <xdr:col>13</xdr:col>
      <xdr:colOff>219075</xdr:colOff>
      <xdr:row>73</xdr:row>
      <xdr:rowOff>1587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18DA45-2987-4664-AD56-921B764D93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539750</xdr:colOff>
      <xdr:row>73</xdr:row>
      <xdr:rowOff>96836</xdr:rowOff>
    </xdr:from>
    <xdr:to>
      <xdr:col>11</xdr:col>
      <xdr:colOff>1270000</xdr:colOff>
      <xdr:row>109</xdr:row>
      <xdr:rowOff>174625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34817C-3226-4EDB-9B71-A4ADED95F2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204107</xdr:colOff>
      <xdr:row>57</xdr:row>
      <xdr:rowOff>2721</xdr:rowOff>
    </xdr:from>
    <xdr:to>
      <xdr:col>27</xdr:col>
      <xdr:colOff>136073</xdr:colOff>
      <xdr:row>86</xdr:row>
      <xdr:rowOff>149679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DC1108-D76A-4F65-BA21-9A757EEBAD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265339</xdr:colOff>
      <xdr:row>38</xdr:row>
      <xdr:rowOff>179614</xdr:rowOff>
    </xdr:from>
    <xdr:to>
      <xdr:col>53</xdr:col>
      <xdr:colOff>190500</xdr:colOff>
      <xdr:row>80</xdr:row>
      <xdr:rowOff>13608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B360A6-2C35-4047-BE95-72F5A58902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52158</xdr:colOff>
      <xdr:row>89</xdr:row>
      <xdr:rowOff>152399</xdr:rowOff>
    </xdr:from>
    <xdr:to>
      <xdr:col>27</xdr:col>
      <xdr:colOff>131536</xdr:colOff>
      <xdr:row>132</xdr:row>
      <xdr:rowOff>122464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5C0B7A-7CC4-4FA7-9ECB-D6C8E570D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2E2C3-29C8-4BD8-9C45-21A04FAA76CD}">
  <dimension ref="A1:J49"/>
  <sheetViews>
    <sheetView topLeftCell="A15" zoomScaleNormal="100" workbookViewId="0">
      <selection activeCell="G31" sqref="G31"/>
    </sheetView>
  </sheetViews>
  <sheetFormatPr defaultRowHeight="14.45"/>
  <cols>
    <col min="1" max="1" width="22.5703125" bestFit="1" customWidth="1"/>
    <col min="2" max="2" width="22.7109375" customWidth="1"/>
    <col min="3" max="3" width="10.7109375" bestFit="1" customWidth="1"/>
  </cols>
  <sheetData>
    <row r="1" spans="1:9" s="1" customFormat="1">
      <c r="E1" s="123" t="s">
        <v>0</v>
      </c>
      <c r="F1" s="123"/>
      <c r="G1" s="123"/>
      <c r="H1" s="123"/>
      <c r="I1"/>
    </row>
    <row r="2" spans="1:9" s="1" customFormat="1">
      <c r="A2" s="1" t="s">
        <v>1</v>
      </c>
      <c r="B2" s="1" t="s">
        <v>2</v>
      </c>
      <c r="C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s="1" customFormat="1">
      <c r="A3" s="1" t="s">
        <v>9</v>
      </c>
      <c r="B3" s="1">
        <v>0.25479248625475714</v>
      </c>
      <c r="C3" s="2">
        <f>B3*100</f>
        <v>25.479248625475716</v>
      </c>
      <c r="E3" s="1">
        <v>0.25464590657960484</v>
      </c>
      <c r="F3" s="1">
        <v>0.2549390659299095</v>
      </c>
      <c r="G3" s="1">
        <v>0.25479248625475714</v>
      </c>
      <c r="H3" s="2">
        <f>G3*100</f>
        <v>25.479248625475716</v>
      </c>
      <c r="I3" s="3">
        <v>1.47E-4</v>
      </c>
    </row>
    <row r="4" spans="1:9" s="1" customFormat="1">
      <c r="A4" s="1" t="s">
        <v>10</v>
      </c>
      <c r="B4" s="1">
        <v>0.2665647596489939</v>
      </c>
      <c r="C4" s="2">
        <f t="shared" ref="C4:C15" si="0">B4*100</f>
        <v>26.656475964899389</v>
      </c>
      <c r="E4" s="1">
        <v>0.26657368665736558</v>
      </c>
      <c r="F4" s="1">
        <v>0.26655583264062221</v>
      </c>
      <c r="G4" s="1">
        <v>0.2665647596489939</v>
      </c>
      <c r="H4" s="2">
        <f t="shared" ref="H4:H15" si="1">G4*100</f>
        <v>26.656475964899389</v>
      </c>
      <c r="I4" s="3">
        <v>9.0000000000000002E-6</v>
      </c>
    </row>
    <row r="5" spans="1:9" s="1" customFormat="1">
      <c r="A5" s="1" t="s">
        <v>11</v>
      </c>
      <c r="B5" s="1">
        <v>0.24876220922669601</v>
      </c>
      <c r="C5" s="2">
        <f t="shared" si="0"/>
        <v>24.876220922669599</v>
      </c>
      <c r="E5" s="1">
        <v>0.2487967419474264</v>
      </c>
      <c r="F5" s="1">
        <v>0.24872767650596558</v>
      </c>
      <c r="G5" s="1">
        <v>0.24876220922669601</v>
      </c>
      <c r="H5" s="2">
        <f t="shared" si="1"/>
        <v>24.876220922669599</v>
      </c>
      <c r="I5" s="3">
        <v>3.4999999999999997E-5</v>
      </c>
    </row>
    <row r="6" spans="1:9" s="1" customFormat="1">
      <c r="A6" s="1" t="s">
        <v>12</v>
      </c>
      <c r="B6" s="1">
        <v>0.24045908002074934</v>
      </c>
      <c r="C6" s="2">
        <f t="shared" si="0"/>
        <v>24.045908002074935</v>
      </c>
      <c r="E6" s="1">
        <v>0.24014503532911843</v>
      </c>
      <c r="F6" s="1">
        <v>0.24077312471238027</v>
      </c>
      <c r="G6" s="1">
        <v>0.24045908002074934</v>
      </c>
      <c r="H6" s="2">
        <f t="shared" si="1"/>
        <v>24.045908002074935</v>
      </c>
      <c r="I6" s="3">
        <v>3.1399999999999999E-4</v>
      </c>
    </row>
    <row r="7" spans="1:9" s="1" customFormat="1">
      <c r="A7" s="1" t="s">
        <v>13</v>
      </c>
      <c r="B7" s="1">
        <v>0.22939153077564695</v>
      </c>
      <c r="C7" s="2">
        <f t="shared" si="0"/>
        <v>22.939153077564693</v>
      </c>
      <c r="E7" s="1">
        <v>0.22961254612546622</v>
      </c>
      <c r="F7" s="1">
        <v>0.22917051542582767</v>
      </c>
      <c r="G7" s="1">
        <v>0.22939153077564695</v>
      </c>
      <c r="H7" s="2">
        <f t="shared" si="1"/>
        <v>22.939153077564693</v>
      </c>
      <c r="I7" s="3">
        <v>2.2100000000000001E-4</v>
      </c>
    </row>
    <row r="8" spans="1:9" s="1" customFormat="1">
      <c r="A8" s="1" t="s">
        <v>14</v>
      </c>
      <c r="B8" s="1">
        <v>0.20534708516324557</v>
      </c>
      <c r="C8" s="2">
        <f t="shared" si="0"/>
        <v>20.534708516324557</v>
      </c>
      <c r="E8" s="1">
        <v>0.20575014047574777</v>
      </c>
      <c r="F8" s="1">
        <v>0.20494402985074339</v>
      </c>
      <c r="G8" s="1">
        <v>0.20534708516324557</v>
      </c>
      <c r="H8" s="2">
        <f t="shared" si="1"/>
        <v>20.534708516324557</v>
      </c>
      <c r="I8" s="3">
        <v>4.0299999999999998E-4</v>
      </c>
    </row>
    <row r="9" spans="1:9" s="1" customFormat="1">
      <c r="A9" s="1" t="s">
        <v>15</v>
      </c>
      <c r="B9" s="1">
        <v>0.19496614247882196</v>
      </c>
      <c r="C9" s="2">
        <f t="shared" si="0"/>
        <v>19.496614247882196</v>
      </c>
      <c r="E9" s="1">
        <v>0.19545921704194749</v>
      </c>
      <c r="F9" s="1">
        <v>0.19447306791569643</v>
      </c>
      <c r="G9" s="1">
        <v>0.19496614247882196</v>
      </c>
      <c r="H9" s="2">
        <f t="shared" si="1"/>
        <v>19.496614247882196</v>
      </c>
      <c r="I9" s="3">
        <v>4.9299999999999995E-4</v>
      </c>
    </row>
    <row r="10" spans="1:9" s="1" customFormat="1">
      <c r="A10" s="1" t="s">
        <v>16</v>
      </c>
      <c r="B10" s="1">
        <v>0.16855272679079111</v>
      </c>
      <c r="C10" s="2">
        <f t="shared" si="0"/>
        <v>16.855272679079111</v>
      </c>
      <c r="E10" s="1">
        <v>0.1673287930382171</v>
      </c>
      <c r="F10" s="1">
        <v>0.16977666054336513</v>
      </c>
      <c r="G10" s="1">
        <v>0.16855272679079111</v>
      </c>
      <c r="H10" s="2">
        <f t="shared" si="1"/>
        <v>16.855272679079111</v>
      </c>
      <c r="I10" s="3">
        <v>1.224E-3</v>
      </c>
    </row>
    <row r="11" spans="1:9" s="1" customFormat="1">
      <c r="A11" s="1" t="s">
        <v>17</v>
      </c>
      <c r="B11" s="1">
        <v>0.15019812620948753</v>
      </c>
      <c r="C11" s="2">
        <f t="shared" si="0"/>
        <v>15.019812620948752</v>
      </c>
      <c r="E11" s="1">
        <v>0.15116942384483639</v>
      </c>
      <c r="F11" s="1">
        <v>0.14922682857413869</v>
      </c>
      <c r="G11" s="1">
        <v>0.15019812620948753</v>
      </c>
      <c r="H11" s="2">
        <f t="shared" si="1"/>
        <v>15.019812620948752</v>
      </c>
      <c r="I11" s="3">
        <v>9.7099999999999997E-4</v>
      </c>
    </row>
    <row r="12" spans="1:9" s="1" customFormat="1">
      <c r="A12" s="1" t="s">
        <v>18</v>
      </c>
      <c r="B12" s="1">
        <v>0.22382101037261631</v>
      </c>
      <c r="C12" s="2">
        <f t="shared" si="0"/>
        <v>22.382101037261631</v>
      </c>
      <c r="E12" s="1">
        <v>0.22087830294008207</v>
      </c>
      <c r="F12" s="1">
        <v>0.22676371780515056</v>
      </c>
      <c r="G12" s="1">
        <v>0.22382101037261631</v>
      </c>
      <c r="H12" s="2">
        <f t="shared" si="1"/>
        <v>22.382101037261631</v>
      </c>
      <c r="I12" s="3">
        <v>2.9429999999999999E-3</v>
      </c>
    </row>
    <row r="13" spans="1:9" s="1" customFormat="1">
      <c r="A13" s="1" t="s">
        <v>19</v>
      </c>
      <c r="B13" s="1">
        <v>0.22104861656433292</v>
      </c>
      <c r="C13" s="2">
        <f t="shared" si="0"/>
        <v>22.104861656433293</v>
      </c>
      <c r="E13" s="1">
        <v>0.22210840007450242</v>
      </c>
      <c r="F13" s="1">
        <v>0.21998883305416342</v>
      </c>
      <c r="G13" s="1">
        <v>0.22104861656433292</v>
      </c>
      <c r="H13" s="2">
        <f t="shared" si="1"/>
        <v>22.104861656433293</v>
      </c>
      <c r="I13" s="3">
        <v>1.06E-3</v>
      </c>
    </row>
    <row r="14" spans="1:9" s="1" customFormat="1">
      <c r="A14" s="1" t="s">
        <v>20</v>
      </c>
      <c r="B14" s="1">
        <v>0.21601502871826181</v>
      </c>
      <c r="C14" s="2">
        <f t="shared" si="0"/>
        <v>21.601502871826181</v>
      </c>
      <c r="E14" s="1">
        <v>0.21865101546487486</v>
      </c>
      <c r="F14" s="1">
        <v>0.21337904197164875</v>
      </c>
      <c r="G14" s="1">
        <v>0.21601502871826181</v>
      </c>
      <c r="H14" s="2">
        <f t="shared" si="1"/>
        <v>21.601502871826181</v>
      </c>
      <c r="I14" s="3">
        <v>2.6359999999999999E-3</v>
      </c>
    </row>
    <row r="15" spans="1:9" s="1" customFormat="1">
      <c r="A15" s="1" t="s">
        <v>21</v>
      </c>
      <c r="B15" s="1">
        <v>0.20863567129234326</v>
      </c>
      <c r="C15" s="2">
        <f t="shared" si="0"/>
        <v>20.863567129234326</v>
      </c>
      <c r="E15" s="1">
        <v>0.21080831408776088</v>
      </c>
      <c r="F15" s="1">
        <v>0.20646302849692563</v>
      </c>
      <c r="G15" s="1">
        <v>0.20863567129234326</v>
      </c>
      <c r="H15" s="2">
        <f t="shared" si="1"/>
        <v>20.863567129234326</v>
      </c>
      <c r="I15" s="3">
        <v>2.173E-3</v>
      </c>
    </row>
    <row r="36" spans="9:10">
      <c r="I36" s="1"/>
      <c r="J36" s="1"/>
    </row>
    <row r="37" spans="9:10">
      <c r="I37" s="1"/>
      <c r="J37" s="2"/>
    </row>
    <row r="38" spans="9:10">
      <c r="I38" s="1"/>
      <c r="J38" s="2"/>
    </row>
    <row r="39" spans="9:10">
      <c r="I39" s="1"/>
      <c r="J39" s="2"/>
    </row>
    <row r="40" spans="9:10">
      <c r="I40" s="1"/>
      <c r="J40" s="2"/>
    </row>
    <row r="41" spans="9:10">
      <c r="I41" s="1"/>
      <c r="J41" s="2"/>
    </row>
    <row r="42" spans="9:10">
      <c r="I42" s="1"/>
      <c r="J42" s="2"/>
    </row>
    <row r="43" spans="9:10">
      <c r="I43" s="1"/>
      <c r="J43" s="2"/>
    </row>
    <row r="44" spans="9:10">
      <c r="I44" s="1"/>
      <c r="J44" s="2"/>
    </row>
    <row r="45" spans="9:10">
      <c r="I45" s="1"/>
      <c r="J45" s="2"/>
    </row>
    <row r="46" spans="9:10">
      <c r="I46" s="1"/>
      <c r="J46" s="2"/>
    </row>
    <row r="47" spans="9:10">
      <c r="I47" s="1"/>
      <c r="J47" s="2"/>
    </row>
    <row r="48" spans="9:10">
      <c r="I48" s="1"/>
      <c r="J48" s="2"/>
    </row>
    <row r="49" spans="9:10">
      <c r="I49" s="1"/>
      <c r="J49" s="2"/>
    </row>
  </sheetData>
  <mergeCells count="1">
    <mergeCell ref="E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F935E-A23B-45C5-8358-6F426918A2F4}">
  <dimension ref="A1:G49"/>
  <sheetViews>
    <sheetView topLeftCell="A13" zoomScale="90" zoomScaleNormal="90" workbookViewId="0">
      <selection activeCell="C30" sqref="C30"/>
    </sheetView>
  </sheetViews>
  <sheetFormatPr defaultColWidth="23.28515625" defaultRowHeight="14.45"/>
  <cols>
    <col min="1" max="1" width="12.28515625" style="9" customWidth="1"/>
    <col min="2" max="2" width="13.7109375" style="12" bestFit="1" customWidth="1"/>
    <col min="7" max="7" width="24.7109375" customWidth="1"/>
  </cols>
  <sheetData>
    <row r="1" spans="1:5">
      <c r="A1" s="4" t="s">
        <v>22</v>
      </c>
      <c r="B1" s="5" t="s">
        <v>23</v>
      </c>
      <c r="D1" s="6" t="s">
        <v>22</v>
      </c>
      <c r="E1" s="7" t="s">
        <v>24</v>
      </c>
    </row>
    <row r="2" spans="1:5">
      <c r="A2" s="8" t="s">
        <v>25</v>
      </c>
      <c r="B2" s="124">
        <v>16.269568047847542</v>
      </c>
      <c r="D2" s="8" t="s">
        <v>9</v>
      </c>
      <c r="E2" s="8">
        <v>16.269568047847542</v>
      </c>
    </row>
    <row r="3" spans="1:5">
      <c r="A3" s="8" t="s">
        <v>26</v>
      </c>
      <c r="B3" s="124"/>
      <c r="D3" s="8" t="s">
        <v>10</v>
      </c>
      <c r="E3" s="8">
        <v>15.887896564348896</v>
      </c>
    </row>
    <row r="4" spans="1:5">
      <c r="A4" s="8" t="s">
        <v>27</v>
      </c>
      <c r="B4" s="124">
        <v>15.887896564348896</v>
      </c>
      <c r="C4" s="125" t="s">
        <v>28</v>
      </c>
      <c r="D4" s="8" t="s">
        <v>11</v>
      </c>
      <c r="E4" s="8">
        <v>15.792783408624445</v>
      </c>
    </row>
    <row r="5" spans="1:5">
      <c r="A5" s="8" t="s">
        <v>29</v>
      </c>
      <c r="B5" s="124"/>
      <c r="C5" s="125"/>
      <c r="D5" s="8" t="s">
        <v>12</v>
      </c>
      <c r="E5" s="8">
        <v>13.18835247913683</v>
      </c>
    </row>
    <row r="6" spans="1:5">
      <c r="A6" s="8" t="s">
        <v>30</v>
      </c>
      <c r="B6" s="124">
        <v>15.792783408624445</v>
      </c>
      <c r="C6" s="125" t="s">
        <v>31</v>
      </c>
      <c r="D6" s="8" t="s">
        <v>13</v>
      </c>
      <c r="E6" s="8">
        <v>16.83558378043141</v>
      </c>
    </row>
    <row r="7" spans="1:5">
      <c r="A7" s="8" t="s">
        <v>32</v>
      </c>
      <c r="B7" s="124"/>
      <c r="C7" s="125"/>
      <c r="D7" s="8" t="s">
        <v>14</v>
      </c>
      <c r="E7" s="8">
        <v>10.608219826734079</v>
      </c>
    </row>
    <row r="8" spans="1:5">
      <c r="A8" s="8" t="s">
        <v>33</v>
      </c>
      <c r="B8" s="124">
        <v>13.18835247913683</v>
      </c>
      <c r="C8" s="125" t="s">
        <v>34</v>
      </c>
      <c r="D8" s="8" t="s">
        <v>15</v>
      </c>
      <c r="E8" s="8">
        <v>9.3445669954364838</v>
      </c>
    </row>
    <row r="9" spans="1:5">
      <c r="A9" s="8" t="s">
        <v>35</v>
      </c>
      <c r="B9" s="124"/>
      <c r="C9" s="125"/>
      <c r="D9" s="8" t="s">
        <v>16</v>
      </c>
      <c r="E9" s="8">
        <v>7.0479384449113782</v>
      </c>
    </row>
    <row r="10" spans="1:5">
      <c r="A10" s="8" t="s">
        <v>36</v>
      </c>
      <c r="B10" s="124">
        <v>16.83558378043141</v>
      </c>
      <c r="C10" s="125" t="s">
        <v>37</v>
      </c>
      <c r="D10" s="8" t="s">
        <v>17</v>
      </c>
      <c r="E10" s="8">
        <v>4.923596081078891</v>
      </c>
    </row>
    <row r="11" spans="1:5">
      <c r="A11" s="8" t="s">
        <v>38</v>
      </c>
      <c r="B11" s="124"/>
      <c r="C11" s="125"/>
      <c r="D11" s="8" t="s">
        <v>18</v>
      </c>
      <c r="E11" s="8">
        <v>52.394449688254014</v>
      </c>
    </row>
    <row r="12" spans="1:5">
      <c r="A12" s="8" t="s">
        <v>39</v>
      </c>
      <c r="B12" s="124">
        <v>10.608219826734079</v>
      </c>
      <c r="D12" s="8" t="s">
        <v>19</v>
      </c>
      <c r="E12" s="8">
        <v>49.283367006030048</v>
      </c>
    </row>
    <row r="13" spans="1:5">
      <c r="A13" s="8" t="s">
        <v>40</v>
      </c>
      <c r="B13" s="124"/>
      <c r="D13" s="8" t="s">
        <v>20</v>
      </c>
      <c r="E13" s="8">
        <v>42.511105554483677</v>
      </c>
    </row>
    <row r="14" spans="1:5">
      <c r="A14" s="8" t="s">
        <v>41</v>
      </c>
      <c r="B14" s="124">
        <v>9.3445669954364838</v>
      </c>
      <c r="D14" s="8" t="s">
        <v>21</v>
      </c>
      <c r="E14" s="8">
        <v>36.712840243832872</v>
      </c>
    </row>
    <row r="15" spans="1:5">
      <c r="A15" s="8" t="s">
        <v>42</v>
      </c>
      <c r="B15" s="124"/>
      <c r="E15" s="9"/>
    </row>
    <row r="16" spans="1:5">
      <c r="A16" s="8" t="s">
        <v>43</v>
      </c>
      <c r="B16" s="124">
        <v>7.0479384449113782</v>
      </c>
    </row>
    <row r="17" spans="1:7">
      <c r="A17" s="8" t="s">
        <v>44</v>
      </c>
      <c r="B17" s="124"/>
      <c r="E17" s="9"/>
    </row>
    <row r="18" spans="1:7">
      <c r="A18" s="8" t="s">
        <v>45</v>
      </c>
      <c r="B18" s="124">
        <v>42.511105554483677</v>
      </c>
    </row>
    <row r="19" spans="1:7">
      <c r="A19" s="8" t="s">
        <v>46</v>
      </c>
      <c r="B19" s="124"/>
      <c r="D19" s="6" t="s">
        <v>22</v>
      </c>
      <c r="E19" s="7" t="s">
        <v>24</v>
      </c>
      <c r="F19" s="10" t="s">
        <v>47</v>
      </c>
      <c r="G19" s="7" t="s">
        <v>48</v>
      </c>
    </row>
    <row r="20" spans="1:7">
      <c r="A20" s="8" t="s">
        <v>49</v>
      </c>
      <c r="B20" s="124">
        <v>36.712840243832872</v>
      </c>
      <c r="D20" s="8" t="s">
        <v>9</v>
      </c>
      <c r="E20" s="8">
        <v>16.269568047847542</v>
      </c>
      <c r="F20" s="16">
        <v>0.25479248625475714</v>
      </c>
      <c r="G20" s="15">
        <f>E20/F20</f>
        <v>63.854190863306037</v>
      </c>
    </row>
    <row r="21" spans="1:7">
      <c r="A21" s="8" t="s">
        <v>50</v>
      </c>
      <c r="B21" s="124"/>
      <c r="D21" s="8" t="s">
        <v>10</v>
      </c>
      <c r="E21" s="8">
        <v>15.887896564348896</v>
      </c>
      <c r="F21" s="16">
        <v>0.2665647596489939</v>
      </c>
      <c r="G21" s="15">
        <f t="shared" ref="G21:G28" si="0">E21/F21</f>
        <v>59.602389247812418</v>
      </c>
    </row>
    <row r="22" spans="1:7">
      <c r="D22" s="8" t="s">
        <v>11</v>
      </c>
      <c r="E22" s="8">
        <v>15.792783408624445</v>
      </c>
      <c r="F22" s="16">
        <v>0.24876220922669601</v>
      </c>
      <c r="G22" s="15">
        <f t="shared" si="0"/>
        <v>63.485460503498523</v>
      </c>
    </row>
    <row r="23" spans="1:7">
      <c r="D23" s="8" t="s">
        <v>12</v>
      </c>
      <c r="E23" s="8">
        <v>13.18835247913683</v>
      </c>
      <c r="F23" s="16">
        <v>0.24045908002074934</v>
      </c>
      <c r="G23" s="15">
        <f t="shared" si="0"/>
        <v>54.846556337148094</v>
      </c>
    </row>
    <row r="24" spans="1:7">
      <c r="D24" s="8" t="s">
        <v>13</v>
      </c>
      <c r="E24" s="8">
        <v>16.83558378043141</v>
      </c>
      <c r="F24" s="16">
        <v>0.22939153077564695</v>
      </c>
      <c r="G24" s="15">
        <f t="shared" si="0"/>
        <v>73.392351162681805</v>
      </c>
    </row>
    <row r="25" spans="1:7">
      <c r="D25" s="8" t="s">
        <v>14</v>
      </c>
      <c r="E25" s="8">
        <v>10.608219826734079</v>
      </c>
      <c r="F25" s="16">
        <v>0.20534708516324557</v>
      </c>
      <c r="G25" s="15">
        <f t="shared" si="0"/>
        <v>51.65994841514707</v>
      </c>
    </row>
    <row r="26" spans="1:7">
      <c r="D26" s="8" t="s">
        <v>15</v>
      </c>
      <c r="E26" s="8">
        <v>9.3445669954364838</v>
      </c>
      <c r="F26" s="16">
        <v>0.19496614247882196</v>
      </c>
      <c r="G26" s="15">
        <f t="shared" si="0"/>
        <v>47.929178249251812</v>
      </c>
    </row>
    <row r="27" spans="1:7">
      <c r="D27" s="8" t="s">
        <v>16</v>
      </c>
      <c r="E27" s="8">
        <v>7.0479384449113782</v>
      </c>
      <c r="F27" s="16">
        <v>0.16855272679079111</v>
      </c>
      <c r="G27" s="15">
        <f t="shared" si="0"/>
        <v>41.814443344244033</v>
      </c>
    </row>
    <row r="28" spans="1:7">
      <c r="D28" s="8" t="s">
        <v>17</v>
      </c>
      <c r="E28" s="8">
        <v>4.923596081078891</v>
      </c>
      <c r="F28" s="16">
        <v>0.15019812620948753</v>
      </c>
      <c r="G28" s="15">
        <f t="shared" si="0"/>
        <v>32.780675800254315</v>
      </c>
    </row>
    <row r="29" spans="1:7">
      <c r="D29" s="8" t="s">
        <v>18</v>
      </c>
      <c r="E29" s="17">
        <v>52.394449688254014</v>
      </c>
      <c r="F29" s="16"/>
      <c r="G29" s="17">
        <v>52.394449688254014</v>
      </c>
    </row>
    <row r="30" spans="1:7">
      <c r="D30" s="8" t="s">
        <v>19</v>
      </c>
      <c r="E30" s="17">
        <v>49.283367006030048</v>
      </c>
      <c r="F30" s="16"/>
      <c r="G30" s="17">
        <v>49.283367006030048</v>
      </c>
    </row>
    <row r="31" spans="1:7">
      <c r="D31" s="8" t="s">
        <v>20</v>
      </c>
      <c r="E31" s="17">
        <v>42.511105554483677</v>
      </c>
      <c r="F31" s="16"/>
      <c r="G31" s="17">
        <v>42.511105554483677</v>
      </c>
    </row>
    <row r="32" spans="1:7">
      <c r="D32" s="8" t="s">
        <v>21</v>
      </c>
      <c r="E32" s="17">
        <v>36.712840243832872</v>
      </c>
      <c r="F32" s="16"/>
      <c r="G32" s="17">
        <v>36.712840243832872</v>
      </c>
    </row>
    <row r="33" spans="4:7">
      <c r="G33" s="122" t="s">
        <v>51</v>
      </c>
    </row>
    <row r="36" spans="4:7">
      <c r="D36" s="13" t="s">
        <v>52</v>
      </c>
      <c r="E36" s="13" t="s">
        <v>48</v>
      </c>
      <c r="F36" s="13" t="s">
        <v>53</v>
      </c>
    </row>
    <row r="37" spans="4:7">
      <c r="D37" s="13">
        <v>16.269568047847542</v>
      </c>
      <c r="E37" s="14">
        <v>63.854190863306037</v>
      </c>
      <c r="F37" s="14">
        <v>6.2287875757350619E-2</v>
      </c>
    </row>
    <row r="38" spans="4:7">
      <c r="D38" s="13">
        <v>15.887896564348896</v>
      </c>
      <c r="E38" s="14">
        <v>59.602389247812418</v>
      </c>
      <c r="F38" s="14">
        <v>8.1591387079975597E-2</v>
      </c>
    </row>
    <row r="39" spans="4:7">
      <c r="D39" s="13">
        <v>15.792783408624445</v>
      </c>
      <c r="E39" s="14">
        <v>63.485460503498523</v>
      </c>
      <c r="F39" s="14">
        <v>3.2504275857831999E-3</v>
      </c>
    </row>
    <row r="40" spans="4:7">
      <c r="D40" s="13">
        <v>13.18835247913683</v>
      </c>
      <c r="E40" s="14">
        <v>54.846556337148094</v>
      </c>
      <c r="F40" s="14">
        <v>1.4280032893568162E-2</v>
      </c>
    </row>
    <row r="41" spans="4:7">
      <c r="D41" s="13">
        <v>16.83558378043141</v>
      </c>
      <c r="E41" s="14">
        <v>73.392351162681805</v>
      </c>
      <c r="F41" s="14">
        <v>6.7420949541237007E-3</v>
      </c>
    </row>
    <row r="42" spans="4:7">
      <c r="D42" s="13">
        <v>10.608219826734079</v>
      </c>
      <c r="E42" s="19">
        <v>51.65994841514707</v>
      </c>
      <c r="F42" s="14">
        <v>0.13475704139636679</v>
      </c>
    </row>
    <row r="43" spans="4:7">
      <c r="D43" s="13">
        <v>9.3445669954364838</v>
      </c>
      <c r="E43" s="19">
        <v>47.929178249251812</v>
      </c>
      <c r="F43" s="14">
        <v>0.13794031981683919</v>
      </c>
    </row>
    <row r="44" spans="4:7">
      <c r="D44" s="13">
        <v>7.0479384449113782</v>
      </c>
      <c r="E44" s="19">
        <v>41.814443344244033</v>
      </c>
      <c r="F44" s="14">
        <v>6.9242245706813144E-2</v>
      </c>
    </row>
    <row r="45" spans="4:7">
      <c r="D45" s="13">
        <v>4.923596081078891</v>
      </c>
      <c r="E45" s="19">
        <v>32.780675800254315</v>
      </c>
      <c r="F45" s="14">
        <v>8.8864912313374678E-2</v>
      </c>
    </row>
    <row r="46" spans="4:7">
      <c r="D46" s="13">
        <v>52.394449688254014</v>
      </c>
      <c r="E46" s="20">
        <v>52.394449688254014</v>
      </c>
      <c r="F46" s="14">
        <v>7.0790946353014306E-3</v>
      </c>
    </row>
    <row r="47" spans="4:7">
      <c r="D47" s="13">
        <v>49.283367006030048</v>
      </c>
      <c r="E47" s="20">
        <v>49.283367006030048</v>
      </c>
      <c r="F47" s="14">
        <v>6.1766760305076218E-2</v>
      </c>
    </row>
    <row r="48" spans="4:7">
      <c r="D48" s="13">
        <v>42.511105554483677</v>
      </c>
      <c r="E48" s="20">
        <v>42.511105554483677</v>
      </c>
      <c r="F48" s="14">
        <v>0.17883461772761322</v>
      </c>
    </row>
    <row r="49" spans="4:6">
      <c r="D49" s="13">
        <v>36.712840243832872</v>
      </c>
      <c r="E49" s="20">
        <v>36.712840243832872</v>
      </c>
      <c r="F49" s="14">
        <v>2.4126778637203472E-3</v>
      </c>
    </row>
  </sheetData>
  <mergeCells count="14">
    <mergeCell ref="B8:B9"/>
    <mergeCell ref="C8:C9"/>
    <mergeCell ref="B2:B3"/>
    <mergeCell ref="B4:B5"/>
    <mergeCell ref="C4:C5"/>
    <mergeCell ref="B6:B7"/>
    <mergeCell ref="C6:C7"/>
    <mergeCell ref="B20:B21"/>
    <mergeCell ref="B10:B11"/>
    <mergeCell ref="C10:C11"/>
    <mergeCell ref="B12:B13"/>
    <mergeCell ref="B14:B15"/>
    <mergeCell ref="B16:B17"/>
    <mergeCell ref="B18:B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A447B-AE1C-4049-BE93-0B6159E362AF}">
  <dimension ref="A1:D67"/>
  <sheetViews>
    <sheetView topLeftCell="A37" zoomScale="80" zoomScaleNormal="80" workbookViewId="0">
      <selection activeCell="D58" sqref="D58"/>
    </sheetView>
  </sheetViews>
  <sheetFormatPr defaultRowHeight="14.45"/>
  <cols>
    <col min="1" max="1" width="22.7109375" bestFit="1" customWidth="1"/>
    <col min="2" max="2" width="21.42578125" bestFit="1" customWidth="1"/>
    <col min="3" max="3" width="22.85546875" bestFit="1" customWidth="1"/>
    <col min="4" max="4" width="48.42578125" bestFit="1" customWidth="1"/>
  </cols>
  <sheetData>
    <row r="1" spans="1:2">
      <c r="A1" s="1" t="s">
        <v>22</v>
      </c>
      <c r="B1" s="1" t="s">
        <v>54</v>
      </c>
    </row>
    <row r="2" spans="1:2">
      <c r="A2" s="1">
        <v>1</v>
      </c>
      <c r="B2" s="1">
        <v>440.78198143492421</v>
      </c>
    </row>
    <row r="3" spans="1:2">
      <c r="A3" s="1">
        <v>2</v>
      </c>
      <c r="B3" s="1">
        <v>705.37112802350475</v>
      </c>
    </row>
    <row r="4" spans="1:2">
      <c r="A4" s="1">
        <v>3</v>
      </c>
      <c r="B4" s="1">
        <v>738.94955054114212</v>
      </c>
    </row>
    <row r="5" spans="1:2">
      <c r="A5" s="1">
        <v>4</v>
      </c>
      <c r="B5" s="1">
        <v>611.86072729266357</v>
      </c>
    </row>
    <row r="6" spans="1:2">
      <c r="A6" s="1">
        <v>5</v>
      </c>
      <c r="B6" s="1">
        <v>758.7124428378545</v>
      </c>
    </row>
    <row r="7" spans="1:2">
      <c r="A7" s="1">
        <v>6</v>
      </c>
      <c r="B7" s="1">
        <v>398.51833282032965</v>
      </c>
    </row>
    <row r="8" spans="1:2">
      <c r="A8" s="1">
        <v>7</v>
      </c>
      <c r="B8" s="1">
        <v>357.40856249093662</v>
      </c>
    </row>
    <row r="9" spans="1:2">
      <c r="A9" s="1">
        <v>8</v>
      </c>
      <c r="B9" s="1">
        <v>188.83405584554998</v>
      </c>
    </row>
    <row r="10" spans="1:2">
      <c r="A10" s="1">
        <v>9</v>
      </c>
      <c r="B10" s="1">
        <v>105.16859231862047</v>
      </c>
    </row>
    <row r="11" spans="1:2">
      <c r="A11" s="1">
        <v>10</v>
      </c>
      <c r="B11" s="1">
        <v>406.10506962455287</v>
      </c>
    </row>
    <row r="12" spans="1:2">
      <c r="A12" s="1">
        <v>11</v>
      </c>
      <c r="B12" s="1">
        <v>339.05644999986731</v>
      </c>
    </row>
    <row r="13" spans="1:2">
      <c r="A13" s="1">
        <v>12</v>
      </c>
      <c r="B13" s="1">
        <v>224.3596293890125</v>
      </c>
    </row>
    <row r="14" spans="1:2">
      <c r="A14" s="1">
        <v>13</v>
      </c>
      <c r="B14" s="1">
        <v>160.43272159680029</v>
      </c>
    </row>
    <row r="17" spans="1:4">
      <c r="A17" s="21" t="s">
        <v>55</v>
      </c>
      <c r="B17" s="21" t="s">
        <v>56</v>
      </c>
      <c r="C17" s="22" t="s">
        <v>57</v>
      </c>
    </row>
    <row r="18" spans="1:4">
      <c r="A18" s="23" t="s">
        <v>9</v>
      </c>
      <c r="B18" s="16">
        <v>440.78198143492421</v>
      </c>
      <c r="C18" s="24"/>
    </row>
    <row r="19" spans="1:4">
      <c r="A19" s="23" t="s">
        <v>10</v>
      </c>
      <c r="B19" s="16">
        <v>705.37112802350475</v>
      </c>
      <c r="C19" s="24"/>
    </row>
    <row r="20" spans="1:4">
      <c r="A20" s="23" t="s">
        <v>11</v>
      </c>
      <c r="B20" s="16">
        <v>738.94955054114212</v>
      </c>
      <c r="C20" s="24"/>
    </row>
    <row r="21" spans="1:4">
      <c r="A21" s="23" t="s">
        <v>12</v>
      </c>
      <c r="B21" s="16">
        <v>611.86072729266357</v>
      </c>
      <c r="C21" s="24"/>
    </row>
    <row r="22" spans="1:4">
      <c r="A22" s="23" t="s">
        <v>58</v>
      </c>
      <c r="B22" s="16">
        <v>758.7124428378545</v>
      </c>
      <c r="C22" s="24"/>
    </row>
    <row r="23" spans="1:4">
      <c r="A23" s="23" t="s">
        <v>14</v>
      </c>
      <c r="B23" s="16">
        <v>398.51833282032965</v>
      </c>
      <c r="C23" s="24"/>
    </row>
    <row r="24" spans="1:4">
      <c r="A24" s="23" t="s">
        <v>15</v>
      </c>
      <c r="B24" s="16">
        <v>357.40856249093662</v>
      </c>
      <c r="C24" s="24"/>
    </row>
    <row r="25" spans="1:4">
      <c r="A25" s="23" t="s">
        <v>16</v>
      </c>
      <c r="B25" s="16">
        <v>188.83405584554998</v>
      </c>
      <c r="C25" s="24"/>
    </row>
    <row r="26" spans="1:4">
      <c r="A26" s="23" t="s">
        <v>17</v>
      </c>
      <c r="B26" s="16">
        <v>105.16859231862047</v>
      </c>
      <c r="C26" s="24"/>
    </row>
    <row r="27" spans="1:4">
      <c r="A27" s="23" t="s">
        <v>18</v>
      </c>
      <c r="B27" s="16">
        <v>406.10506962455287</v>
      </c>
      <c r="C27" s="25">
        <f>B23-B27</f>
        <v>-7.5867368042232215</v>
      </c>
      <c r="D27" s="26" t="s">
        <v>59</v>
      </c>
    </row>
    <row r="28" spans="1:4">
      <c r="A28" s="23" t="s">
        <v>19</v>
      </c>
      <c r="B28" s="16">
        <v>339.05644999986731</v>
      </c>
      <c r="C28" s="25">
        <f t="shared" ref="C28:C30" si="0">B24-B28</f>
        <v>18.352112491069306</v>
      </c>
      <c r="D28" s="26" t="s">
        <v>60</v>
      </c>
    </row>
    <row r="29" spans="1:4">
      <c r="A29" s="23" t="s">
        <v>20</v>
      </c>
      <c r="B29" s="16">
        <v>224.3596293890125</v>
      </c>
      <c r="C29" s="25">
        <f t="shared" si="0"/>
        <v>-35.525573543462514</v>
      </c>
      <c r="D29" s="26" t="s">
        <v>59</v>
      </c>
    </row>
    <row r="30" spans="1:4">
      <c r="A30" s="23" t="s">
        <v>21</v>
      </c>
      <c r="B30" s="16">
        <v>160.43272159680029</v>
      </c>
      <c r="C30" s="25">
        <f t="shared" si="0"/>
        <v>-55.264129278179823</v>
      </c>
      <c r="D30" s="26" t="s">
        <v>59</v>
      </c>
    </row>
    <row r="37" spans="1:4">
      <c r="A37" s="21" t="s">
        <v>55</v>
      </c>
      <c r="B37" s="21" t="s">
        <v>56</v>
      </c>
      <c r="C37" s="21" t="s">
        <v>61</v>
      </c>
      <c r="D37" s="21" t="s">
        <v>62</v>
      </c>
    </row>
    <row r="38" spans="1:4">
      <c r="A38" s="23" t="s">
        <v>9</v>
      </c>
      <c r="B38" s="16">
        <v>440.78198143492421</v>
      </c>
      <c r="C38" s="8">
        <v>0.25479248625475714</v>
      </c>
      <c r="D38" s="11">
        <f>B38/C38</f>
        <v>1729.9645994827467</v>
      </c>
    </row>
    <row r="39" spans="1:4">
      <c r="A39" s="23" t="s">
        <v>10</v>
      </c>
      <c r="B39" s="16">
        <v>705.37112802350475</v>
      </c>
      <c r="C39" s="8">
        <v>0.2665647596489939</v>
      </c>
      <c r="D39" s="11">
        <f t="shared" ref="D39:D50" si="1">B39/C39</f>
        <v>2646.1529609252198</v>
      </c>
    </row>
    <row r="40" spans="1:4">
      <c r="A40" s="23" t="s">
        <v>11</v>
      </c>
      <c r="B40" s="16">
        <v>738.94955054114212</v>
      </c>
      <c r="C40" s="8">
        <v>0.24876220922669601</v>
      </c>
      <c r="D40" s="11">
        <f t="shared" si="1"/>
        <v>2970.5056601573287</v>
      </c>
    </row>
    <row r="41" spans="1:4">
      <c r="A41" s="23" t="s">
        <v>12</v>
      </c>
      <c r="B41" s="16">
        <v>611.86072729266357</v>
      </c>
      <c r="C41" s="8">
        <v>0.24045908002074934</v>
      </c>
      <c r="D41" s="11">
        <f t="shared" si="1"/>
        <v>2544.5523921985637</v>
      </c>
    </row>
    <row r="42" spans="1:4">
      <c r="A42" s="23" t="s">
        <v>58</v>
      </c>
      <c r="B42" s="16">
        <v>758.7124428378545</v>
      </c>
      <c r="C42" s="8">
        <v>0.22939153077564695</v>
      </c>
      <c r="D42" s="11">
        <f t="shared" si="1"/>
        <v>3307.4998029456551</v>
      </c>
    </row>
    <row r="43" spans="1:4">
      <c r="A43" s="23" t="s">
        <v>14</v>
      </c>
      <c r="B43" s="16">
        <v>398.51833282032965</v>
      </c>
      <c r="C43" s="8">
        <v>0.20534708516324557</v>
      </c>
      <c r="D43" s="11">
        <f t="shared" si="1"/>
        <v>1940.7060611720783</v>
      </c>
    </row>
    <row r="44" spans="1:4">
      <c r="A44" s="23" t="s">
        <v>15</v>
      </c>
      <c r="B44" s="16">
        <v>357.40856249093662</v>
      </c>
      <c r="C44" s="8">
        <v>0.19496614247882196</v>
      </c>
      <c r="D44" s="11">
        <f t="shared" si="1"/>
        <v>1833.182715454094</v>
      </c>
    </row>
    <row r="45" spans="1:4">
      <c r="A45" s="23" t="s">
        <v>16</v>
      </c>
      <c r="B45" s="16">
        <v>188.83405584554998</v>
      </c>
      <c r="C45" s="8">
        <v>0.16855272679079111</v>
      </c>
      <c r="D45" s="11">
        <f t="shared" si="1"/>
        <v>1120.3263183035431</v>
      </c>
    </row>
    <row r="46" spans="1:4">
      <c r="A46" s="23" t="s">
        <v>17</v>
      </c>
      <c r="B46" s="16">
        <v>105.16859231862047</v>
      </c>
      <c r="C46" s="8">
        <v>0.15019812620948753</v>
      </c>
      <c r="D46" s="11">
        <f t="shared" si="1"/>
        <v>700.19909683784931</v>
      </c>
    </row>
    <row r="47" spans="1:4">
      <c r="A47" s="23" t="s">
        <v>18</v>
      </c>
      <c r="B47" s="16">
        <v>406.10506962455287</v>
      </c>
      <c r="C47" s="16">
        <v>0.22087830294008207</v>
      </c>
      <c r="D47" s="11">
        <f t="shared" si="1"/>
        <v>1838.5919495891703</v>
      </c>
    </row>
    <row r="48" spans="1:4">
      <c r="A48" s="23" t="s">
        <v>19</v>
      </c>
      <c r="B48" s="16">
        <v>339.05644999986731</v>
      </c>
      <c r="C48" s="16">
        <v>0.22210840007450242</v>
      </c>
      <c r="D48" s="11">
        <f t="shared" si="1"/>
        <v>1526.5359161838846</v>
      </c>
    </row>
    <row r="49" spans="1:4">
      <c r="A49" s="23" t="s">
        <v>20</v>
      </c>
      <c r="B49" s="16">
        <v>224.3596293890125</v>
      </c>
      <c r="C49" s="16">
        <v>0.21865101546487486</v>
      </c>
      <c r="D49" s="11">
        <f t="shared" si="1"/>
        <v>1026.1083348366826</v>
      </c>
    </row>
    <row r="50" spans="1:4">
      <c r="A50" s="23" t="s">
        <v>21</v>
      </c>
      <c r="B50" s="16">
        <v>160.43272159680029</v>
      </c>
      <c r="C50" s="16">
        <v>0.21080831408776088</v>
      </c>
      <c r="D50" s="11">
        <f t="shared" si="1"/>
        <v>761.03602597955933</v>
      </c>
    </row>
    <row r="54" spans="1:4">
      <c r="A54" s="21" t="s">
        <v>55</v>
      </c>
      <c r="B54" s="21" t="s">
        <v>56</v>
      </c>
      <c r="C54" s="21" t="s">
        <v>63</v>
      </c>
    </row>
    <row r="55" spans="1:4">
      <c r="A55" s="23" t="s">
        <v>9</v>
      </c>
      <c r="B55" s="27">
        <v>440.78198143492421</v>
      </c>
      <c r="C55" s="11">
        <v>3.5000000000000031E-3</v>
      </c>
    </row>
    <row r="56" spans="1:4">
      <c r="A56" s="23" t="s">
        <v>10</v>
      </c>
      <c r="B56" s="27">
        <v>705.37112802350475</v>
      </c>
      <c r="C56" s="11">
        <v>4.4999999999999485E-3</v>
      </c>
    </row>
    <row r="57" spans="1:4">
      <c r="A57" s="23" t="s">
        <v>11</v>
      </c>
      <c r="B57" s="27">
        <v>738.94955054114212</v>
      </c>
      <c r="C57" s="11">
        <v>4.4999999999999485E-3</v>
      </c>
    </row>
    <row r="58" spans="1:4">
      <c r="A58" s="23" t="s">
        <v>12</v>
      </c>
      <c r="B58" s="27">
        <v>611.86072729266357</v>
      </c>
      <c r="C58" s="11">
        <v>2.0000000000000018E-3</v>
      </c>
    </row>
    <row r="59" spans="1:4">
      <c r="A59" s="23" t="s">
        <v>58</v>
      </c>
      <c r="B59" s="27">
        <v>758.7124428378545</v>
      </c>
      <c r="C59" s="11">
        <v>1.2499999999999956E-2</v>
      </c>
    </row>
    <row r="60" spans="1:4">
      <c r="A60" s="23" t="s">
        <v>14</v>
      </c>
      <c r="B60" s="27">
        <v>398.51833282032965</v>
      </c>
      <c r="C60" s="11">
        <v>0.01</v>
      </c>
    </row>
    <row r="61" spans="1:4">
      <c r="A61" s="23" t="s">
        <v>15</v>
      </c>
      <c r="B61" s="27">
        <v>357.40856249093662</v>
      </c>
      <c r="C61" s="11">
        <v>2.5000000000000022E-3</v>
      </c>
    </row>
    <row r="62" spans="1:4">
      <c r="A62" s="23" t="s">
        <v>16</v>
      </c>
      <c r="B62" s="27">
        <v>188.83405584554998</v>
      </c>
      <c r="C62" s="11">
        <v>4.500000000000004E-3</v>
      </c>
    </row>
    <row r="63" spans="1:4">
      <c r="A63" s="23" t="s">
        <v>17</v>
      </c>
      <c r="B63" s="27">
        <v>105.16859231862047</v>
      </c>
      <c r="C63" s="11">
        <v>0.01</v>
      </c>
    </row>
    <row r="64" spans="1:4">
      <c r="A64" s="23" t="s">
        <v>18</v>
      </c>
      <c r="B64" s="27">
        <v>406.10506962455287</v>
      </c>
      <c r="C64" s="11">
        <v>1.9000000000000017E-2</v>
      </c>
    </row>
    <row r="65" spans="1:3">
      <c r="A65" s="23" t="s">
        <v>19</v>
      </c>
      <c r="B65" s="27">
        <v>339.05644999986731</v>
      </c>
      <c r="C65" s="11">
        <v>3.400000000000003E-2</v>
      </c>
    </row>
    <row r="66" spans="1:3">
      <c r="A66" s="23" t="s">
        <v>20</v>
      </c>
      <c r="B66" s="27">
        <v>224.3596293890125</v>
      </c>
      <c r="C66" s="11">
        <v>1.0000000000000009E-3</v>
      </c>
    </row>
    <row r="67" spans="1:3">
      <c r="A67" s="23" t="s">
        <v>21</v>
      </c>
      <c r="B67" s="27">
        <v>160.43272159680029</v>
      </c>
      <c r="C67" s="11">
        <v>1.150000000000001E-2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4B81A-61C0-4471-9144-386DA9CFE95D}">
  <dimension ref="A1:O76"/>
  <sheetViews>
    <sheetView tabSelected="1" topLeftCell="A31" workbookViewId="0">
      <selection activeCell="D41" sqref="D41"/>
    </sheetView>
  </sheetViews>
  <sheetFormatPr defaultRowHeight="14.45"/>
  <cols>
    <col min="1" max="1" width="19.85546875" bestFit="1" customWidth="1"/>
    <col min="2" max="2" width="21.140625" bestFit="1" customWidth="1"/>
    <col min="3" max="3" width="18.140625" bestFit="1" customWidth="1"/>
    <col min="4" max="4" width="19" bestFit="1" customWidth="1"/>
    <col min="8" max="8" width="19.5703125" bestFit="1" customWidth="1"/>
    <col min="11" max="11" width="21.85546875" bestFit="1" customWidth="1"/>
    <col min="12" max="12" width="21" bestFit="1" customWidth="1"/>
    <col min="13" max="13" width="19.5703125" bestFit="1" customWidth="1"/>
  </cols>
  <sheetData>
    <row r="1" spans="1:15" ht="18.600000000000001">
      <c r="A1" s="28" t="s">
        <v>64</v>
      </c>
      <c r="B1" s="28" t="s">
        <v>65</v>
      </c>
      <c r="C1" s="28" t="s">
        <v>66</v>
      </c>
      <c r="D1" s="29" t="s">
        <v>67</v>
      </c>
      <c r="E1" s="29" t="s">
        <v>68</v>
      </c>
      <c r="H1" s="30" t="s">
        <v>1</v>
      </c>
      <c r="I1" s="31" t="s">
        <v>67</v>
      </c>
      <c r="J1" s="31" t="s">
        <v>68</v>
      </c>
      <c r="K1" s="31" t="s">
        <v>69</v>
      </c>
      <c r="L1" s="31" t="s">
        <v>70</v>
      </c>
    </row>
    <row r="2" spans="1:15">
      <c r="A2" s="16" t="s">
        <v>71</v>
      </c>
      <c r="B2" s="32">
        <v>25.7</v>
      </c>
      <c r="C2" s="32">
        <v>134.18350019280086</v>
      </c>
      <c r="D2" s="33">
        <f>AVERAGE(B2:B3)</f>
        <v>25.65</v>
      </c>
      <c r="E2" s="33">
        <f>AVERAGE(C2:C3)</f>
        <v>132.78209109075914</v>
      </c>
      <c r="H2" s="34" t="s">
        <v>9</v>
      </c>
      <c r="I2" s="35">
        <v>25.65</v>
      </c>
      <c r="J2" s="35">
        <v>132.78209109075914</v>
      </c>
      <c r="K2" s="2"/>
    </row>
    <row r="3" spans="1:15">
      <c r="A3" s="16" t="s">
        <v>71</v>
      </c>
      <c r="B3" s="32">
        <v>25.6</v>
      </c>
      <c r="C3" s="32">
        <v>131.38068198871744</v>
      </c>
      <c r="H3" s="34" t="s">
        <v>10</v>
      </c>
      <c r="I3" s="35">
        <v>26.95</v>
      </c>
      <c r="J3" s="35">
        <v>97.196920071367231</v>
      </c>
      <c r="K3" s="2"/>
    </row>
    <row r="4" spans="1:15">
      <c r="A4" s="16" t="s">
        <v>10</v>
      </c>
      <c r="B4" s="32">
        <v>26</v>
      </c>
      <c r="C4" s="32">
        <v>97.18435452780146</v>
      </c>
      <c r="D4" s="33">
        <f>AVERAGE(B4:B5)</f>
        <v>26.95</v>
      </c>
      <c r="E4" s="33">
        <f>AVERAGE(C4:C5)</f>
        <v>97.196920071367231</v>
      </c>
      <c r="H4" s="34" t="s">
        <v>11</v>
      </c>
      <c r="I4" s="35">
        <v>25.05</v>
      </c>
      <c r="J4" s="35">
        <v>113.53150332590076</v>
      </c>
      <c r="K4" s="2"/>
    </row>
    <row r="5" spans="1:15">
      <c r="A5" s="16" t="s">
        <v>10</v>
      </c>
      <c r="B5" s="32">
        <v>27.9</v>
      </c>
      <c r="C5" s="32">
        <v>97.209485614933016</v>
      </c>
      <c r="H5" s="34" t="s">
        <v>12</v>
      </c>
      <c r="I5" s="35">
        <v>21.5</v>
      </c>
      <c r="J5" s="35">
        <v>71.035456768960159</v>
      </c>
      <c r="K5" s="2"/>
      <c r="N5">
        <v>60.3</v>
      </c>
      <c r="O5">
        <v>100</v>
      </c>
    </row>
    <row r="6" spans="1:15">
      <c r="A6" s="16" t="s">
        <v>72</v>
      </c>
      <c r="B6" s="32">
        <v>25.6</v>
      </c>
      <c r="C6" s="32">
        <v>115.9029436579951</v>
      </c>
      <c r="D6" s="33">
        <f>AVERAGE(B6:B7)</f>
        <v>25.05</v>
      </c>
      <c r="E6" s="33">
        <f>AVERAGE(C6:C7)</f>
        <v>113.53150332590076</v>
      </c>
      <c r="H6" s="34" t="s">
        <v>13</v>
      </c>
      <c r="I6" s="35">
        <v>26.1</v>
      </c>
      <c r="J6" s="35">
        <v>96.376923745485158</v>
      </c>
      <c r="K6" s="2"/>
      <c r="N6">
        <v>63.4</v>
      </c>
    </row>
    <row r="7" spans="1:15">
      <c r="A7" s="16" t="s">
        <v>72</v>
      </c>
      <c r="B7" s="32">
        <v>24.5</v>
      </c>
      <c r="C7" s="32">
        <v>111.16006299380642</v>
      </c>
      <c r="H7" s="34" t="s">
        <v>14</v>
      </c>
      <c r="I7" s="35">
        <v>21.25</v>
      </c>
      <c r="J7" s="35">
        <v>60.33531640230634</v>
      </c>
      <c r="K7" s="2"/>
    </row>
    <row r="8" spans="1:15">
      <c r="A8" s="16" t="s">
        <v>12</v>
      </c>
      <c r="B8" s="32">
        <v>21.4</v>
      </c>
      <c r="C8" s="32">
        <v>70.201482408983182</v>
      </c>
      <c r="D8" s="33">
        <f>AVERAGE(B8:B9)</f>
        <v>21.5</v>
      </c>
      <c r="E8" s="33">
        <f>AVERAGE(C8:C9)</f>
        <v>71.035456768960159</v>
      </c>
      <c r="H8" s="34" t="s">
        <v>15</v>
      </c>
      <c r="I8" s="35">
        <v>20.799999999999997</v>
      </c>
      <c r="J8" s="35">
        <v>52.603711659008987</v>
      </c>
      <c r="K8" s="2"/>
    </row>
    <row r="9" spans="1:15">
      <c r="A9" s="16" t="s">
        <v>12</v>
      </c>
      <c r="B9" s="32">
        <v>21.6</v>
      </c>
      <c r="C9" s="32">
        <v>71.869431128937123</v>
      </c>
      <c r="H9" s="34" t="s">
        <v>16</v>
      </c>
      <c r="I9" s="35">
        <v>20.549999999999997</v>
      </c>
      <c r="J9" s="35">
        <v>39.663854237694963</v>
      </c>
      <c r="K9" s="2"/>
    </row>
    <row r="10" spans="1:15">
      <c r="A10" s="16" t="s">
        <v>73</v>
      </c>
      <c r="B10" s="32">
        <v>26</v>
      </c>
      <c r="C10" s="32">
        <v>96.939443148839857</v>
      </c>
      <c r="D10" s="33">
        <f>AVERAGE(B10:B11)</f>
        <v>26.1</v>
      </c>
      <c r="E10" s="33">
        <f>AVERAGE(C10:C11)</f>
        <v>96.376923745485158</v>
      </c>
      <c r="H10" s="34" t="s">
        <v>17</v>
      </c>
      <c r="I10" s="35">
        <v>19.75</v>
      </c>
      <c r="J10" s="35">
        <v>23.849229771207025</v>
      </c>
      <c r="K10" s="2"/>
    </row>
    <row r="11" spans="1:15">
      <c r="A11" s="16" t="s">
        <v>73</v>
      </c>
      <c r="B11" s="32">
        <v>26.2</v>
      </c>
      <c r="C11" s="32">
        <v>95.814404342130473</v>
      </c>
      <c r="H11" s="34" t="s">
        <v>18</v>
      </c>
      <c r="I11" s="35">
        <v>18.666666666666668</v>
      </c>
      <c r="J11" s="35">
        <v>63.422229608784313</v>
      </c>
      <c r="K11" s="2">
        <f>I7-I11</f>
        <v>2.5833333333333321</v>
      </c>
      <c r="L11" s="33">
        <f>J7-J11</f>
        <v>-3.0869132064779734</v>
      </c>
      <c r="M11" s="36" t="s">
        <v>59</v>
      </c>
      <c r="N11">
        <f>(J11*100)/J7</f>
        <v>105.11626256485492</v>
      </c>
    </row>
    <row r="12" spans="1:15">
      <c r="A12" s="16" t="s">
        <v>74</v>
      </c>
      <c r="B12" s="32">
        <v>21</v>
      </c>
      <c r="C12" s="32">
        <v>61.538676903575421</v>
      </c>
      <c r="D12" s="33">
        <f>AVERAGE(B12:B13)</f>
        <v>21.25</v>
      </c>
      <c r="E12" s="33">
        <f>AVERAGE(C12:C13)</f>
        <v>60.33531640230634</v>
      </c>
      <c r="H12" s="34" t="s">
        <v>19</v>
      </c>
      <c r="I12" s="35">
        <v>17.233333333333334</v>
      </c>
      <c r="J12" s="35">
        <v>45.355072166453851</v>
      </c>
      <c r="K12" s="2">
        <f t="shared" ref="K12:L14" si="0">I8-I12</f>
        <v>3.5666666666666629</v>
      </c>
      <c r="L12" s="33">
        <f t="shared" si="0"/>
        <v>7.2486394925551352</v>
      </c>
      <c r="N12">
        <f>(J12*100)/J8</f>
        <v>86.22028890367524</v>
      </c>
    </row>
    <row r="13" spans="1:15">
      <c r="A13" s="16" t="s">
        <v>74</v>
      </c>
      <c r="B13" s="32">
        <v>21.5</v>
      </c>
      <c r="C13" s="32">
        <v>59.131955901037259</v>
      </c>
      <c r="H13" s="34" t="s">
        <v>20</v>
      </c>
      <c r="I13" s="35">
        <v>14.733333333333334</v>
      </c>
      <c r="J13" s="35">
        <v>27.108260185051218</v>
      </c>
      <c r="K13" s="2">
        <f t="shared" si="0"/>
        <v>5.8166666666666629</v>
      </c>
      <c r="L13" s="33">
        <f t="shared" si="0"/>
        <v>12.555594052643745</v>
      </c>
      <c r="N13">
        <f t="shared" ref="N13:N14" si="1">(J13*100)/J9</f>
        <v>68.344997494692777</v>
      </c>
    </row>
    <row r="14" spans="1:15">
      <c r="A14" s="16" t="s">
        <v>75</v>
      </c>
      <c r="B14" s="32">
        <v>21.2</v>
      </c>
      <c r="C14" s="32">
        <v>51.694746219420296</v>
      </c>
      <c r="D14" s="33">
        <f>AVERAGE(B14:B15)</f>
        <v>20.799999999999997</v>
      </c>
      <c r="E14" s="33">
        <f>AVERAGE(C14:C15)</f>
        <v>52.603711659008987</v>
      </c>
      <c r="H14" s="34" t="s">
        <v>21</v>
      </c>
      <c r="I14" s="35">
        <v>12.5</v>
      </c>
      <c r="J14" s="35">
        <v>13.033333333333331</v>
      </c>
      <c r="K14" s="2">
        <f t="shared" si="0"/>
        <v>7.25</v>
      </c>
      <c r="L14" s="33">
        <f t="shared" si="0"/>
        <v>10.815896437873693</v>
      </c>
      <c r="N14">
        <f t="shared" si="1"/>
        <v>54.648864799266448</v>
      </c>
    </row>
    <row r="15" spans="1:15">
      <c r="A15" s="16" t="s">
        <v>75</v>
      </c>
      <c r="B15" s="32">
        <v>20.399999999999999</v>
      </c>
      <c r="C15" s="32">
        <v>53.512677098597678</v>
      </c>
      <c r="N15" s="1"/>
      <c r="O15" s="1"/>
    </row>
    <row r="16" spans="1:15">
      <c r="A16" s="16" t="s">
        <v>76</v>
      </c>
      <c r="B16" s="32">
        <v>20.7</v>
      </c>
      <c r="C16" s="32">
        <v>38.483922497604695</v>
      </c>
      <c r="D16" s="33">
        <f>AVERAGE(B16:B17)</f>
        <v>20.549999999999997</v>
      </c>
      <c r="E16" s="33">
        <f>AVERAGE(C16:C17)</f>
        <v>39.663854237694963</v>
      </c>
      <c r="N16" s="1"/>
      <c r="O16" s="1"/>
    </row>
    <row r="17" spans="1:5">
      <c r="A17" s="16" t="s">
        <v>76</v>
      </c>
      <c r="B17" s="32">
        <v>20.399999999999999</v>
      </c>
      <c r="C17" s="32">
        <v>40.843785977785231</v>
      </c>
    </row>
    <row r="18" spans="1:5">
      <c r="A18" s="16" t="s">
        <v>77</v>
      </c>
      <c r="B18" s="32">
        <v>19.899999999999999</v>
      </c>
      <c r="C18" s="32">
        <v>23.197088400962983</v>
      </c>
      <c r="D18" s="33">
        <f>AVERAGE(B18:B19)</f>
        <v>19.75</v>
      </c>
      <c r="E18" s="33">
        <f>AVERAGE(C18:C19)</f>
        <v>23.849229771207025</v>
      </c>
    </row>
    <row r="19" spans="1:5">
      <c r="A19" s="16" t="s">
        <v>77</v>
      </c>
      <c r="B19" s="32">
        <v>19.600000000000001</v>
      </c>
      <c r="C19" s="32">
        <v>24.501371141451067</v>
      </c>
    </row>
    <row r="20" spans="1:5">
      <c r="A20" s="16" t="s">
        <v>74</v>
      </c>
      <c r="B20" s="32">
        <v>18.8</v>
      </c>
      <c r="C20" s="32">
        <v>65.62945578333364</v>
      </c>
      <c r="D20" s="33">
        <f>AVERAGE(B20:B22)</f>
        <v>18.666666666666668</v>
      </c>
      <c r="E20" s="33">
        <f>AVERAGE(C20:C22)</f>
        <v>63.422229608784313</v>
      </c>
    </row>
    <row r="21" spans="1:5">
      <c r="A21" s="16" t="s">
        <v>74</v>
      </c>
      <c r="B21" s="32">
        <v>18.600000000000001</v>
      </c>
      <c r="C21" s="37">
        <v>62.8</v>
      </c>
    </row>
    <row r="22" spans="1:5">
      <c r="A22" s="16" t="s">
        <v>74</v>
      </c>
      <c r="B22" s="32">
        <v>18.600000000000001</v>
      </c>
      <c r="C22" s="37">
        <v>61.837233043019296</v>
      </c>
    </row>
    <row r="23" spans="1:5">
      <c r="A23" s="16" t="s">
        <v>75</v>
      </c>
      <c r="B23" s="32">
        <v>17.5</v>
      </c>
      <c r="C23" s="32">
        <v>48.402862480923204</v>
      </c>
      <c r="D23" s="33">
        <f>AVERAGE(B23:B25)</f>
        <v>17.233333333333334</v>
      </c>
      <c r="E23" s="33">
        <f>AVERAGE(C23:C25)</f>
        <v>45.355072166453851</v>
      </c>
    </row>
    <row r="24" spans="1:5">
      <c r="A24" s="16" t="s">
        <v>75</v>
      </c>
      <c r="B24" s="32">
        <v>16.7</v>
      </c>
      <c r="C24" s="32">
        <v>47.16235401843835</v>
      </c>
    </row>
    <row r="25" spans="1:5">
      <c r="A25" s="16" t="s">
        <v>75</v>
      </c>
      <c r="B25" s="32">
        <v>17.5</v>
      </c>
      <c r="C25" s="37">
        <v>40.5</v>
      </c>
    </row>
    <row r="26" spans="1:5">
      <c r="A26" s="16" t="s">
        <v>76</v>
      </c>
      <c r="B26" s="32">
        <v>14</v>
      </c>
      <c r="C26" s="32">
        <v>28.482372354275007</v>
      </c>
      <c r="D26" s="33">
        <f>AVERAGE(B26:B28)</f>
        <v>14.733333333333334</v>
      </c>
      <c r="E26" s="33">
        <f>AVERAGE(C26:C28)</f>
        <v>27.108260185051218</v>
      </c>
    </row>
    <row r="27" spans="1:5">
      <c r="A27" s="16" t="s">
        <v>76</v>
      </c>
      <c r="B27" s="32">
        <v>15.1</v>
      </c>
      <c r="C27" s="32">
        <v>27.504365311130936</v>
      </c>
    </row>
    <row r="28" spans="1:5">
      <c r="A28" s="16" t="s">
        <v>76</v>
      </c>
      <c r="B28" s="32">
        <v>15.1</v>
      </c>
      <c r="C28" s="32">
        <v>25.338042889747715</v>
      </c>
    </row>
    <row r="29" spans="1:5">
      <c r="A29" s="16" t="s">
        <v>77</v>
      </c>
      <c r="B29" s="32">
        <v>12.4</v>
      </c>
      <c r="C29" s="37">
        <v>13.2</v>
      </c>
      <c r="D29" s="33">
        <f>AVERAGE(B29:B31)</f>
        <v>12.5</v>
      </c>
      <c r="E29" s="33">
        <f>AVERAGE(C29:C31)</f>
        <v>13.033333333333331</v>
      </c>
    </row>
    <row r="30" spans="1:5">
      <c r="A30" s="16" t="s">
        <v>77</v>
      </c>
      <c r="B30" s="32">
        <v>12.5</v>
      </c>
      <c r="C30" s="37">
        <v>13.1</v>
      </c>
    </row>
    <row r="31" spans="1:5">
      <c r="A31" s="16" t="s">
        <v>77</v>
      </c>
      <c r="B31" s="32">
        <v>12.6</v>
      </c>
      <c r="C31" s="37">
        <v>12.8</v>
      </c>
    </row>
    <row r="40" spans="1:4" ht="18.600000000000001">
      <c r="A40" s="30" t="s">
        <v>1</v>
      </c>
      <c r="B40" s="31" t="s">
        <v>68</v>
      </c>
      <c r="C40" s="21" t="s">
        <v>61</v>
      </c>
      <c r="D40" s="21" t="s">
        <v>78</v>
      </c>
    </row>
    <row r="41" spans="1:4">
      <c r="A41" s="34" t="s">
        <v>9</v>
      </c>
      <c r="B41" s="35">
        <v>132.78209109075914</v>
      </c>
      <c r="C41" s="8">
        <v>0.25479248625475714</v>
      </c>
      <c r="D41" s="11">
        <f>B41/C41</f>
        <v>521.1381742159989</v>
      </c>
    </row>
    <row r="42" spans="1:4">
      <c r="A42" s="34" t="s">
        <v>10</v>
      </c>
      <c r="B42" s="35">
        <v>97.196920071367231</v>
      </c>
      <c r="C42" s="8">
        <v>0.2665647596489939</v>
      </c>
      <c r="D42" s="11">
        <f t="shared" ref="D42:D53" si="2">B42/C42</f>
        <v>364.62779325877062</v>
      </c>
    </row>
    <row r="43" spans="1:4">
      <c r="A43" s="34" t="s">
        <v>11</v>
      </c>
      <c r="B43" s="35">
        <v>113.53150332590076</v>
      </c>
      <c r="C43" s="8">
        <v>0.24876220922669601</v>
      </c>
      <c r="D43" s="11">
        <f t="shared" si="2"/>
        <v>456.38565310553241</v>
      </c>
    </row>
    <row r="44" spans="1:4">
      <c r="A44" s="34" t="s">
        <v>12</v>
      </c>
      <c r="B44" s="35">
        <v>71.035456768960159</v>
      </c>
      <c r="C44" s="8">
        <v>0.24045908002074934</v>
      </c>
      <c r="D44" s="11">
        <f t="shared" si="2"/>
        <v>295.41598829551572</v>
      </c>
    </row>
    <row r="45" spans="1:4">
      <c r="A45" s="34" t="s">
        <v>13</v>
      </c>
      <c r="B45" s="35">
        <v>96.376923745485158</v>
      </c>
      <c r="C45" s="8">
        <v>0.22939153077564695</v>
      </c>
      <c r="D45" s="11">
        <f t="shared" si="2"/>
        <v>420.14159554890108</v>
      </c>
    </row>
    <row r="46" spans="1:4">
      <c r="A46" s="34" t="s">
        <v>14</v>
      </c>
      <c r="B46" s="35">
        <v>60.33531640230634</v>
      </c>
      <c r="C46" s="8">
        <v>0.20534708516324557</v>
      </c>
      <c r="D46" s="11">
        <f t="shared" si="2"/>
        <v>293.82114849276451</v>
      </c>
    </row>
    <row r="47" spans="1:4">
      <c r="A47" s="34" t="s">
        <v>15</v>
      </c>
      <c r="B47" s="35">
        <v>52.603711659008987</v>
      </c>
      <c r="C47" s="8">
        <v>0.19496614247882196</v>
      </c>
      <c r="D47" s="11">
        <f t="shared" si="2"/>
        <v>269.80947045573834</v>
      </c>
    </row>
    <row r="48" spans="1:4">
      <c r="A48" s="34" t="s">
        <v>16</v>
      </c>
      <c r="B48" s="35">
        <v>39.663854237694963</v>
      </c>
      <c r="C48" s="8">
        <v>0.16855272679079111</v>
      </c>
      <c r="D48" s="11">
        <f t="shared" si="2"/>
        <v>235.32015763189659</v>
      </c>
    </row>
    <row r="49" spans="1:4">
      <c r="A49" s="34" t="s">
        <v>17</v>
      </c>
      <c r="B49" s="35">
        <v>23.849229771207025</v>
      </c>
      <c r="C49" s="8">
        <v>0.15019812620948753</v>
      </c>
      <c r="D49" s="11">
        <f t="shared" si="2"/>
        <v>158.7851351616965</v>
      </c>
    </row>
    <row r="50" spans="1:4">
      <c r="A50" s="34" t="s">
        <v>18</v>
      </c>
      <c r="B50" s="35">
        <v>63.422229608784313</v>
      </c>
      <c r="C50" s="16">
        <v>0.22087830294008207</v>
      </c>
      <c r="D50" s="11">
        <f t="shared" si="2"/>
        <v>287.13653068037627</v>
      </c>
    </row>
    <row r="51" spans="1:4">
      <c r="A51" s="34" t="s">
        <v>19</v>
      </c>
      <c r="B51" s="35">
        <v>45.355072166453851</v>
      </c>
      <c r="C51" s="16">
        <v>0.22210840007450242</v>
      </c>
      <c r="D51" s="11">
        <f t="shared" si="2"/>
        <v>204.20241715864992</v>
      </c>
    </row>
    <row r="52" spans="1:4">
      <c r="A52" s="34" t="s">
        <v>20</v>
      </c>
      <c r="B52" s="35">
        <v>27.108260185051218</v>
      </c>
      <c r="C52" s="16">
        <v>0.21865101546487486</v>
      </c>
      <c r="D52" s="11">
        <f t="shared" si="2"/>
        <v>123.97957598054704</v>
      </c>
    </row>
    <row r="53" spans="1:4">
      <c r="A53" s="34" t="s">
        <v>21</v>
      </c>
      <c r="B53" s="35">
        <v>13.033333333333331</v>
      </c>
      <c r="C53" s="16">
        <v>0.21080831408776088</v>
      </c>
      <c r="D53" s="11">
        <f t="shared" si="2"/>
        <v>61.825518550978352</v>
      </c>
    </row>
    <row r="63" spans="1:4" ht="18.600000000000001">
      <c r="A63" s="30" t="s">
        <v>1</v>
      </c>
      <c r="B63" s="31" t="s">
        <v>79</v>
      </c>
      <c r="C63" s="31" t="s">
        <v>80</v>
      </c>
      <c r="D63" s="31" t="s">
        <v>81</v>
      </c>
    </row>
    <row r="64" spans="1:4">
      <c r="A64" s="34" t="s">
        <v>9</v>
      </c>
      <c r="B64" s="35">
        <v>521.1381742159989</v>
      </c>
      <c r="C64" s="51">
        <v>284.71896152580689</v>
      </c>
      <c r="D64" s="51">
        <v>6.1371732262748058</v>
      </c>
    </row>
    <row r="65" spans="1:4">
      <c r="A65" s="34" t="s">
        <v>10</v>
      </c>
      <c r="B65" s="35">
        <v>364.62779325877062</v>
      </c>
      <c r="C65" s="51">
        <v>191.84767669800962</v>
      </c>
      <c r="D65" s="51">
        <v>14.841121900689634</v>
      </c>
    </row>
    <row r="66" spans="1:4">
      <c r="A66" s="34" t="s">
        <v>11</v>
      </c>
      <c r="B66" s="35">
        <v>456.38565310553241</v>
      </c>
      <c r="C66" s="51">
        <v>273.44077380901479</v>
      </c>
      <c r="D66" s="51">
        <v>19.448404900622222</v>
      </c>
    </row>
    <row r="67" spans="1:4">
      <c r="A67" s="34" t="s">
        <v>12</v>
      </c>
      <c r="B67" s="35">
        <v>295.41598829551572</v>
      </c>
      <c r="C67" s="51">
        <v>135.12954291459937</v>
      </c>
      <c r="D67" s="51">
        <v>8.6200896543330945</v>
      </c>
    </row>
    <row r="68" spans="1:4">
      <c r="A68" s="34" t="s">
        <v>13</v>
      </c>
      <c r="B68" s="35">
        <v>420.14159554890108</v>
      </c>
      <c r="C68" s="51">
        <v>170.05071753651882</v>
      </c>
      <c r="D68" s="51">
        <v>18.397972099408008</v>
      </c>
    </row>
    <row r="69" spans="1:4">
      <c r="A69" s="34" t="s">
        <v>14</v>
      </c>
      <c r="B69" s="35">
        <v>293.82114849276451</v>
      </c>
      <c r="C69" s="51">
        <v>146.68866997108802</v>
      </c>
      <c r="D69" s="51">
        <v>13.523375514063058</v>
      </c>
    </row>
    <row r="70" spans="1:4">
      <c r="A70" s="34" t="s">
        <v>15</v>
      </c>
      <c r="B70" s="35">
        <v>269.80947045573834</v>
      </c>
      <c r="C70" s="51">
        <v>115.77540598617422</v>
      </c>
      <c r="D70" s="51">
        <v>4.6005744106785595</v>
      </c>
    </row>
    <row r="71" spans="1:4">
      <c r="A71" s="34" t="s">
        <v>16</v>
      </c>
      <c r="B71" s="35">
        <v>235.32015763189659</v>
      </c>
      <c r="C71" s="51">
        <v>86.907746854958177</v>
      </c>
      <c r="D71" s="51">
        <v>7.4083114717350398</v>
      </c>
    </row>
    <row r="72" spans="1:4">
      <c r="A72" s="34" t="s">
        <v>17</v>
      </c>
      <c r="B72" s="35">
        <v>158.7851351616965</v>
      </c>
      <c r="C72" s="51">
        <v>62.176516484017874</v>
      </c>
      <c r="D72" s="51">
        <v>4.7702912037806771</v>
      </c>
    </row>
    <row r="73" spans="1:4">
      <c r="A73" s="34" t="s">
        <v>18</v>
      </c>
      <c r="B73" s="35">
        <v>287.13653068037627</v>
      </c>
      <c r="C73" s="51">
        <v>164.35009405546373</v>
      </c>
      <c r="D73" s="51">
        <v>10.312164344190442</v>
      </c>
    </row>
    <row r="74" spans="1:4">
      <c r="A74" s="34" t="s">
        <v>19</v>
      </c>
      <c r="B74" s="35">
        <v>204.20241715864992</v>
      </c>
      <c r="C74" s="51">
        <v>112.55765199161398</v>
      </c>
      <c r="D74" s="51">
        <v>8.7209152950621984</v>
      </c>
    </row>
    <row r="75" spans="1:4">
      <c r="A75" s="34" t="s">
        <v>20</v>
      </c>
      <c r="B75" s="35">
        <v>123.97957598054704</v>
      </c>
      <c r="C75" s="51">
        <v>74.843877292851758</v>
      </c>
      <c r="D75" s="51">
        <v>5.9797876000538555</v>
      </c>
    </row>
    <row r="76" spans="1:4">
      <c r="A76" s="34" t="s">
        <v>21</v>
      </c>
      <c r="B76" s="35">
        <v>61.825518550978352</v>
      </c>
      <c r="C76" s="51">
        <v>63.804402581730493</v>
      </c>
      <c r="D76" s="51">
        <v>2.429395158141229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0E20F-5E30-4B22-9DDE-7D71463F1E15}">
  <dimension ref="A1:K78"/>
  <sheetViews>
    <sheetView topLeftCell="A61" workbookViewId="0">
      <selection activeCell="D66" sqref="D66"/>
    </sheetView>
  </sheetViews>
  <sheetFormatPr defaultColWidth="8.85546875" defaultRowHeight="14.45"/>
  <cols>
    <col min="1" max="1" width="20.5703125" bestFit="1" customWidth="1"/>
    <col min="2" max="2" width="21" bestFit="1" customWidth="1"/>
    <col min="3" max="3" width="17.42578125" customWidth="1"/>
    <col min="4" max="4" width="19.5703125" bestFit="1" customWidth="1"/>
    <col min="5" max="7" width="16" customWidth="1"/>
    <col min="8" max="8" width="26" bestFit="1" customWidth="1"/>
    <col min="9" max="9" width="16" customWidth="1"/>
    <col min="10" max="11" width="19.140625" customWidth="1"/>
    <col min="12" max="12" width="16" customWidth="1"/>
  </cols>
  <sheetData>
    <row r="1" spans="1:11">
      <c r="A1" s="38" t="s">
        <v>1</v>
      </c>
      <c r="B1" s="38" t="s">
        <v>82</v>
      </c>
      <c r="C1" s="38" t="s">
        <v>83</v>
      </c>
      <c r="D1" s="38" t="s">
        <v>84</v>
      </c>
      <c r="E1" s="38" t="s">
        <v>85</v>
      </c>
    </row>
    <row r="2" spans="1:11">
      <c r="A2" s="1" t="s">
        <v>86</v>
      </c>
      <c r="B2" s="1">
        <v>750</v>
      </c>
      <c r="C2" s="1">
        <v>3.3664999999999998</v>
      </c>
      <c r="D2" s="1">
        <f t="shared" ref="D2:D9" si="0">$H$6 + (($H$3 - $H$6)/(1 + (B2/$H$5)^$H$4))</f>
        <v>3.203125</v>
      </c>
      <c r="E2" s="1">
        <f t="shared" ref="E2:E9" si="1">(C2-D2)^2</f>
        <v>2.6691390624999943E-2</v>
      </c>
      <c r="H2" t="s">
        <v>87</v>
      </c>
    </row>
    <row r="3" spans="1:11">
      <c r="A3" s="1" t="s">
        <v>88</v>
      </c>
      <c r="B3" s="1">
        <v>250</v>
      </c>
      <c r="C3" s="1">
        <v>3.1404999999999998</v>
      </c>
      <c r="D3" s="1">
        <f t="shared" si="0"/>
        <v>2.875</v>
      </c>
      <c r="E3" s="1">
        <f t="shared" si="1"/>
        <v>7.0490249999999921E-2</v>
      </c>
      <c r="G3" s="39" t="s">
        <v>89</v>
      </c>
      <c r="H3" s="40">
        <v>0.25</v>
      </c>
    </row>
    <row r="4" spans="1:11">
      <c r="A4" s="1" t="s">
        <v>90</v>
      </c>
      <c r="B4" s="1">
        <v>83.3</v>
      </c>
      <c r="C4" s="1">
        <v>2.4790000000000001</v>
      </c>
      <c r="D4" s="1">
        <f t="shared" si="0"/>
        <v>2.2184546136534133</v>
      </c>
      <c r="E4" s="1">
        <f t="shared" si="1"/>
        <v>6.7883898346492152E-2</v>
      </c>
      <c r="G4" s="39" t="s">
        <v>91</v>
      </c>
      <c r="H4" s="40">
        <v>1</v>
      </c>
    </row>
    <row r="5" spans="1:11">
      <c r="A5" s="1" t="s">
        <v>92</v>
      </c>
      <c r="B5" s="1">
        <v>27.7</v>
      </c>
      <c r="C5" s="1">
        <v>1.48</v>
      </c>
      <c r="D5" s="1">
        <f t="shared" si="0"/>
        <v>1.3729729729729727</v>
      </c>
      <c r="E5" s="1">
        <f t="shared" si="1"/>
        <v>1.1454784514244025E-2</v>
      </c>
      <c r="G5" s="39" t="s">
        <v>93</v>
      </c>
      <c r="H5" s="40">
        <v>50</v>
      </c>
    </row>
    <row r="6" spans="1:11">
      <c r="A6" s="1" t="s">
        <v>94</v>
      </c>
      <c r="B6" s="1">
        <v>9.26</v>
      </c>
      <c r="C6" s="1">
        <v>1.298</v>
      </c>
      <c r="D6" s="1">
        <f t="shared" si="0"/>
        <v>0.74222072224097202</v>
      </c>
      <c r="E6" s="1">
        <f t="shared" si="1"/>
        <v>0.30889060558634684</v>
      </c>
      <c r="G6" s="39" t="s">
        <v>95</v>
      </c>
      <c r="H6" s="40">
        <v>3.4</v>
      </c>
    </row>
    <row r="7" spans="1:11">
      <c r="A7" s="1" t="s">
        <v>96</v>
      </c>
      <c r="B7" s="1">
        <v>3</v>
      </c>
      <c r="C7" s="1">
        <v>1.2350000000000001</v>
      </c>
      <c r="D7" s="1">
        <f t="shared" si="0"/>
        <v>0.42830188679245307</v>
      </c>
      <c r="E7" s="1">
        <f t="shared" si="1"/>
        <v>0.65076184585261632</v>
      </c>
    </row>
    <row r="8" spans="1:11">
      <c r="A8" s="1" t="s">
        <v>97</v>
      </c>
      <c r="B8" s="1">
        <v>1</v>
      </c>
      <c r="C8" s="1">
        <v>0.84799999999999998</v>
      </c>
      <c r="D8" s="1">
        <f t="shared" si="0"/>
        <v>0.31176470588235317</v>
      </c>
      <c r="E8" s="1">
        <f t="shared" si="1"/>
        <v>0.2875482906574392</v>
      </c>
    </row>
    <row r="9" spans="1:11">
      <c r="A9" s="1" t="s">
        <v>98</v>
      </c>
      <c r="B9" s="1">
        <v>0</v>
      </c>
      <c r="C9" s="1">
        <v>0.25750000000000001</v>
      </c>
      <c r="D9" s="1">
        <f t="shared" si="0"/>
        <v>0.25</v>
      </c>
      <c r="E9" s="1">
        <f t="shared" si="1"/>
        <v>5.62500000000001E-5</v>
      </c>
      <c r="F9" s="41" t="s">
        <v>99</v>
      </c>
      <c r="G9" s="41"/>
    </row>
    <row r="10" spans="1:11">
      <c r="F10" t="s">
        <v>100</v>
      </c>
    </row>
    <row r="11" spans="1:11">
      <c r="D11" s="41" t="s">
        <v>101</v>
      </c>
      <c r="E11">
        <f>SUM(E2:E9)</f>
        <v>1.4237773155821385</v>
      </c>
      <c r="F11" t="s">
        <v>102</v>
      </c>
    </row>
    <row r="12" spans="1:11">
      <c r="D12" s="41" t="s">
        <v>103</v>
      </c>
      <c r="E12">
        <f>AVERAGE(C2:C9)</f>
        <v>1.7630625000000002</v>
      </c>
    </row>
    <row r="13" spans="1:11">
      <c r="D13" s="41" t="s">
        <v>104</v>
      </c>
      <c r="E13" t="e">
        <f>SUMXMY2(C2:C9,E12)</f>
        <v>#N/A</v>
      </c>
    </row>
    <row r="14" spans="1:11">
      <c r="D14" s="41" t="s">
        <v>105</v>
      </c>
      <c r="E14" t="e">
        <f>1-(E11/E13)</f>
        <v>#N/A</v>
      </c>
    </row>
    <row r="16" spans="1:11">
      <c r="A16" s="42" t="s">
        <v>106</v>
      </c>
      <c r="B16" s="42" t="s">
        <v>107</v>
      </c>
      <c r="C16" s="42" t="s">
        <v>108</v>
      </c>
      <c r="D16" s="42" t="s">
        <v>109</v>
      </c>
      <c r="E16" s="42" t="s">
        <v>110</v>
      </c>
      <c r="F16" s="42" t="s">
        <v>111</v>
      </c>
      <c r="G16" s="42" t="s">
        <v>112</v>
      </c>
      <c r="H16" s="42" t="s">
        <v>113</v>
      </c>
      <c r="I16" s="42" t="s">
        <v>114</v>
      </c>
      <c r="J16" s="42" t="s">
        <v>115</v>
      </c>
      <c r="K16" s="42" t="s">
        <v>116</v>
      </c>
    </row>
    <row r="17" spans="1:11">
      <c r="A17" s="9" t="s">
        <v>117</v>
      </c>
      <c r="B17" s="9">
        <v>1.944</v>
      </c>
      <c r="C17" s="9">
        <v>2.1179999999999999</v>
      </c>
      <c r="D17" s="9">
        <v>2.2170000000000001</v>
      </c>
      <c r="E17" s="9">
        <v>2.1800000000000002</v>
      </c>
      <c r="F17" s="9">
        <f t="shared" ref="F17:F29" si="2">AVERAGE(B17:E17)</f>
        <v>2.1147499999999999</v>
      </c>
      <c r="G17" s="9">
        <f>_xlfn.STDEV.S(B17:E17)</f>
        <v>0.12093903422799446</v>
      </c>
      <c r="H17" s="9">
        <f t="shared" ref="H17:H29" si="3">IFERROR($H$5 * POWER(((($H$3-$H$6)/(F17-$H$6)) - 1),1/$H$4),"")</f>
        <v>72.544252091032874</v>
      </c>
      <c r="I17" s="9">
        <v>1000000</v>
      </c>
      <c r="J17" s="9">
        <f t="shared" ref="J17:J29" si="4">IF(H17="","",H17*I17)</f>
        <v>72544252.091032878</v>
      </c>
      <c r="K17" s="43">
        <f t="shared" ref="K17:K29" si="5">J17*10^-6</f>
        <v>72.544252091032874</v>
      </c>
    </row>
    <row r="18" spans="1:11">
      <c r="A18" s="9" t="s">
        <v>118</v>
      </c>
      <c r="B18" s="9">
        <v>1.8169999999999999</v>
      </c>
      <c r="C18" s="9">
        <v>1.905</v>
      </c>
      <c r="D18" s="9">
        <v>1.8009999999999999</v>
      </c>
      <c r="E18" s="9">
        <v>1.8480000000000001</v>
      </c>
      <c r="F18" s="9">
        <f t="shared" si="2"/>
        <v>1.8427499999999999</v>
      </c>
      <c r="G18" s="9">
        <f t="shared" ref="G18:G29" si="6">_xlfn.STDEV.S(B18:E18)</f>
        <v>4.5857569349744991E-2</v>
      </c>
      <c r="H18" s="9">
        <f t="shared" si="3"/>
        <v>51.13982982822283</v>
      </c>
      <c r="I18" s="9">
        <v>1000000</v>
      </c>
      <c r="J18" s="9">
        <f t="shared" si="4"/>
        <v>51139829.828222826</v>
      </c>
      <c r="K18" s="43">
        <f t="shared" si="5"/>
        <v>51.139829828222823</v>
      </c>
    </row>
    <row r="19" spans="1:11">
      <c r="A19" s="9" t="s">
        <v>119</v>
      </c>
      <c r="B19" s="9">
        <v>1.992</v>
      </c>
      <c r="C19" s="9">
        <v>2.0579999999999998</v>
      </c>
      <c r="D19" s="9">
        <v>2.1739999999999999</v>
      </c>
      <c r="E19" s="9">
        <v>2.0379999999999998</v>
      </c>
      <c r="F19" s="9">
        <f t="shared" si="2"/>
        <v>2.0655000000000001</v>
      </c>
      <c r="G19" s="9">
        <f t="shared" si="6"/>
        <v>7.7431690325516375E-2</v>
      </c>
      <c r="H19" s="9">
        <f t="shared" si="3"/>
        <v>68.021730985387791</v>
      </c>
      <c r="I19" s="9">
        <v>1000000</v>
      </c>
      <c r="J19" s="9">
        <f t="shared" si="4"/>
        <v>68021730.985387787</v>
      </c>
      <c r="K19" s="43">
        <f t="shared" si="5"/>
        <v>68.021730985387791</v>
      </c>
    </row>
    <row r="20" spans="1:11">
      <c r="A20" s="9" t="s">
        <v>120</v>
      </c>
      <c r="B20" s="9">
        <v>1.484</v>
      </c>
      <c r="C20" s="9">
        <v>1.548</v>
      </c>
      <c r="D20" s="9">
        <v>1.476</v>
      </c>
      <c r="E20" s="9">
        <v>1.4550000000000001</v>
      </c>
      <c r="F20" s="9">
        <f t="shared" si="2"/>
        <v>1.49075</v>
      </c>
      <c r="G20" s="9">
        <f t="shared" si="6"/>
        <v>4.0078048854703494E-2</v>
      </c>
      <c r="H20" s="9">
        <f t="shared" si="3"/>
        <v>32.493125572868934</v>
      </c>
      <c r="I20" s="9">
        <v>1000000</v>
      </c>
      <c r="J20" s="9">
        <f t="shared" si="4"/>
        <v>32493125.572868932</v>
      </c>
      <c r="K20" s="43">
        <f t="shared" si="5"/>
        <v>32.493125572868934</v>
      </c>
    </row>
    <row r="21" spans="1:11">
      <c r="A21" s="9" t="s">
        <v>121</v>
      </c>
      <c r="B21" s="9">
        <v>1.5569999999999999</v>
      </c>
      <c r="C21" s="9">
        <v>1.6759999999999999</v>
      </c>
      <c r="D21" s="9">
        <v>1.6819999999999999</v>
      </c>
      <c r="E21" s="9">
        <v>1.607</v>
      </c>
      <c r="F21" s="9">
        <f t="shared" si="2"/>
        <v>1.6304999999999998</v>
      </c>
      <c r="G21" s="9">
        <f t="shared" si="6"/>
        <v>5.9657354953098617E-2</v>
      </c>
      <c r="H21" s="9">
        <f t="shared" si="3"/>
        <v>39.008194405199205</v>
      </c>
      <c r="I21" s="9">
        <v>1000000</v>
      </c>
      <c r="J21" s="9">
        <f t="shared" si="4"/>
        <v>39008194.405199207</v>
      </c>
      <c r="K21" s="43">
        <f t="shared" si="5"/>
        <v>39.008194405199205</v>
      </c>
    </row>
    <row r="22" spans="1:11">
      <c r="A22" s="9" t="s">
        <v>122</v>
      </c>
      <c r="B22" s="9">
        <v>1.677</v>
      </c>
      <c r="C22" s="9">
        <v>1.391</v>
      </c>
      <c r="D22" s="9">
        <v>1.3879999999999999</v>
      </c>
      <c r="E22" s="9">
        <v>1.2809999999999999</v>
      </c>
      <c r="F22" s="9">
        <f t="shared" si="2"/>
        <v>1.4342499999999998</v>
      </c>
      <c r="G22" s="9">
        <f t="shared" si="6"/>
        <v>0.16972796862430808</v>
      </c>
      <c r="H22" s="9">
        <f t="shared" si="3"/>
        <v>30.12209080503624</v>
      </c>
      <c r="I22" s="9">
        <v>1000000</v>
      </c>
      <c r="J22" s="9">
        <f t="shared" si="4"/>
        <v>30122090.805036239</v>
      </c>
      <c r="K22" s="43">
        <f t="shared" si="5"/>
        <v>30.122090805036237</v>
      </c>
    </row>
    <row r="23" spans="1:11">
      <c r="A23" s="9" t="s">
        <v>123</v>
      </c>
      <c r="B23" s="9">
        <v>1.167</v>
      </c>
      <c r="C23" s="9">
        <v>1.252</v>
      </c>
      <c r="D23" s="9">
        <v>1.2509999999999999</v>
      </c>
      <c r="E23" s="9">
        <v>1.2490000000000001</v>
      </c>
      <c r="F23" s="9">
        <f t="shared" si="2"/>
        <v>1.2297500000000001</v>
      </c>
      <c r="G23" s="9">
        <f t="shared" si="6"/>
        <v>4.1851921501089191E-2</v>
      </c>
      <c r="H23" s="9">
        <f t="shared" si="3"/>
        <v>22.572284299043901</v>
      </c>
      <c r="I23" s="9">
        <v>1000000</v>
      </c>
      <c r="J23" s="9">
        <f t="shared" si="4"/>
        <v>22572284.299043901</v>
      </c>
      <c r="K23" s="43">
        <f t="shared" si="5"/>
        <v>22.572284299043901</v>
      </c>
    </row>
    <row r="24" spans="1:11">
      <c r="A24" s="9" t="s">
        <v>124</v>
      </c>
      <c r="B24" s="9">
        <v>0.98299999999999998</v>
      </c>
      <c r="C24" s="9">
        <v>0.98599999999999999</v>
      </c>
      <c r="D24" s="9">
        <v>0.92500000000000004</v>
      </c>
      <c r="E24" s="9">
        <v>0.96099999999999997</v>
      </c>
      <c r="F24" s="9">
        <f t="shared" si="2"/>
        <v>0.96375</v>
      </c>
      <c r="G24" s="9">
        <f t="shared" si="6"/>
        <v>2.8135090782390088E-2</v>
      </c>
      <c r="H24" s="9">
        <f t="shared" si="3"/>
        <v>14.648537711647002</v>
      </c>
      <c r="I24" s="9">
        <v>1000000</v>
      </c>
      <c r="J24" s="9">
        <f t="shared" si="4"/>
        <v>14648537.711647002</v>
      </c>
      <c r="K24" s="43">
        <f t="shared" si="5"/>
        <v>14.648537711647002</v>
      </c>
    </row>
    <row r="25" spans="1:11">
      <c r="A25" s="9" t="s">
        <v>125</v>
      </c>
      <c r="B25" s="9">
        <v>0.625</v>
      </c>
      <c r="C25" s="9">
        <v>0.69099999999999995</v>
      </c>
      <c r="D25" s="9">
        <v>0.77600000000000002</v>
      </c>
      <c r="E25" s="9">
        <v>0.89100000000000001</v>
      </c>
      <c r="F25" s="9">
        <f t="shared" si="2"/>
        <v>0.74574999999999991</v>
      </c>
      <c r="G25" s="9">
        <f t="shared" si="6"/>
        <v>0.11487783366109748</v>
      </c>
      <c r="H25" s="9">
        <f t="shared" si="3"/>
        <v>9.3387962701327982</v>
      </c>
      <c r="I25" s="9">
        <v>1000000</v>
      </c>
      <c r="J25" s="9">
        <f t="shared" si="4"/>
        <v>9338796.2701327987</v>
      </c>
      <c r="K25" s="43">
        <f t="shared" si="5"/>
        <v>9.3387962701327982</v>
      </c>
    </row>
    <row r="26" spans="1:11">
      <c r="A26" s="9" t="s">
        <v>126</v>
      </c>
      <c r="B26" s="9">
        <v>1.556</v>
      </c>
      <c r="C26" s="9">
        <v>1.6319999999999999</v>
      </c>
      <c r="D26" s="9">
        <v>1.5580000000000001</v>
      </c>
      <c r="E26" s="9">
        <v>1.554</v>
      </c>
      <c r="F26" s="9">
        <f t="shared" si="2"/>
        <v>1.575</v>
      </c>
      <c r="G26" s="9">
        <f t="shared" si="6"/>
        <v>3.803507153492236E-2</v>
      </c>
      <c r="H26" s="9">
        <f t="shared" si="3"/>
        <v>36.301369863013697</v>
      </c>
      <c r="I26" s="9">
        <v>1000000</v>
      </c>
      <c r="J26" s="9">
        <f t="shared" si="4"/>
        <v>36301369.8630137</v>
      </c>
      <c r="K26" s="43">
        <f t="shared" si="5"/>
        <v>36.301369863013697</v>
      </c>
    </row>
    <row r="27" spans="1:11">
      <c r="A27" s="9" t="s">
        <v>127</v>
      </c>
      <c r="B27" s="9">
        <v>1.266</v>
      </c>
      <c r="C27" s="9">
        <v>1.2889999999999999</v>
      </c>
      <c r="D27" s="9">
        <v>1.325</v>
      </c>
      <c r="E27" s="9">
        <v>1.32</v>
      </c>
      <c r="F27" s="9">
        <f t="shared" si="2"/>
        <v>1.3</v>
      </c>
      <c r="G27" s="9">
        <f t="shared" si="6"/>
        <v>2.7700782179088983E-2</v>
      </c>
      <c r="H27" s="9">
        <f t="shared" si="3"/>
        <v>25.000000000000011</v>
      </c>
      <c r="I27" s="9">
        <v>1000000</v>
      </c>
      <c r="J27" s="9">
        <f t="shared" si="4"/>
        <v>25000000.000000011</v>
      </c>
      <c r="K27" s="43">
        <f t="shared" si="5"/>
        <v>25.000000000000011</v>
      </c>
    </row>
    <row r="28" spans="1:11">
      <c r="A28" s="9" t="s">
        <v>128</v>
      </c>
      <c r="B28" s="9">
        <v>1.0680000000000001</v>
      </c>
      <c r="C28" s="9">
        <v>1.0569999999999999</v>
      </c>
      <c r="D28" s="9">
        <v>1.0429999999999999</v>
      </c>
      <c r="E28" s="9">
        <v>0.93899999999999995</v>
      </c>
      <c r="F28" s="9">
        <f t="shared" si="2"/>
        <v>1.0267500000000001</v>
      </c>
      <c r="G28" s="9">
        <f t="shared" si="6"/>
        <v>5.9387849486798809E-2</v>
      </c>
      <c r="H28" s="9">
        <f t="shared" si="3"/>
        <v>16.364689771410525</v>
      </c>
      <c r="I28" s="9">
        <v>1000000</v>
      </c>
      <c r="J28" s="9">
        <f t="shared" si="4"/>
        <v>16364689.771410525</v>
      </c>
      <c r="K28" s="43">
        <f t="shared" si="5"/>
        <v>16.364689771410525</v>
      </c>
    </row>
    <row r="29" spans="1:11">
      <c r="A29" s="9" t="s">
        <v>129</v>
      </c>
      <c r="B29" s="9">
        <v>1.0629999999999999</v>
      </c>
      <c r="C29" s="9">
        <v>0.88800000000000001</v>
      </c>
      <c r="D29" s="9">
        <v>0.88</v>
      </c>
      <c r="E29" s="9">
        <v>0.84</v>
      </c>
      <c r="F29" s="9">
        <f t="shared" si="2"/>
        <v>0.91774999999999995</v>
      </c>
      <c r="G29" s="9">
        <f t="shared" si="6"/>
        <v>9.9083718810576191E-2</v>
      </c>
      <c r="H29" s="9">
        <f t="shared" si="3"/>
        <v>13.450498539631383</v>
      </c>
      <c r="I29" s="9">
        <v>1000000</v>
      </c>
      <c r="J29" s="9">
        <f t="shared" si="4"/>
        <v>13450498.539631383</v>
      </c>
      <c r="K29" s="43">
        <f t="shared" si="5"/>
        <v>13.450498539631383</v>
      </c>
    </row>
    <row r="33" spans="1:3" ht="15.6">
      <c r="A33" s="44" t="s">
        <v>1</v>
      </c>
      <c r="B33" s="45" t="s">
        <v>130</v>
      </c>
      <c r="C33" s="9" t="s">
        <v>112</v>
      </c>
    </row>
    <row r="34" spans="1:3">
      <c r="A34" s="46" t="s">
        <v>9</v>
      </c>
      <c r="B34" s="47">
        <v>72.544252091032874</v>
      </c>
      <c r="C34">
        <v>0.12093903422799446</v>
      </c>
    </row>
    <row r="35" spans="1:3">
      <c r="A35" s="46" t="s">
        <v>10</v>
      </c>
      <c r="B35" s="47">
        <v>51.139829828222823</v>
      </c>
      <c r="C35">
        <v>4.5857569349744991E-2</v>
      </c>
    </row>
    <row r="36" spans="1:3">
      <c r="A36" s="46" t="s">
        <v>11</v>
      </c>
      <c r="B36" s="47">
        <v>68.021730985387791</v>
      </c>
      <c r="C36">
        <v>7.7431690325516375E-2</v>
      </c>
    </row>
    <row r="37" spans="1:3">
      <c r="A37" s="46" t="s">
        <v>12</v>
      </c>
      <c r="B37" s="47">
        <v>32.493125572868934</v>
      </c>
      <c r="C37">
        <v>4.0078048854703494E-2</v>
      </c>
    </row>
    <row r="38" spans="1:3">
      <c r="A38" s="46" t="s">
        <v>13</v>
      </c>
      <c r="B38" s="47">
        <v>39.008194405199205</v>
      </c>
      <c r="C38">
        <v>5.9657354953098617E-2</v>
      </c>
    </row>
    <row r="39" spans="1:3">
      <c r="A39" s="46" t="s">
        <v>14</v>
      </c>
      <c r="B39" s="47">
        <v>30.122090805036237</v>
      </c>
      <c r="C39">
        <v>0.16972796862430808</v>
      </c>
    </row>
    <row r="40" spans="1:3">
      <c r="A40" s="46" t="s">
        <v>15</v>
      </c>
      <c r="B40" s="47">
        <v>22.572284299043901</v>
      </c>
      <c r="C40">
        <v>4.1851921501089191E-2</v>
      </c>
    </row>
    <row r="41" spans="1:3">
      <c r="A41" s="46" t="s">
        <v>16</v>
      </c>
      <c r="B41" s="47">
        <v>14.648537711647002</v>
      </c>
      <c r="C41">
        <v>2.8135090782390088E-2</v>
      </c>
    </row>
    <row r="42" spans="1:3">
      <c r="A42" s="46" t="s">
        <v>17</v>
      </c>
      <c r="B42" s="47">
        <v>9.3387962701327982</v>
      </c>
      <c r="C42">
        <v>0.11487783366109748</v>
      </c>
    </row>
    <row r="43" spans="1:3">
      <c r="A43" s="46" t="s">
        <v>18</v>
      </c>
      <c r="B43" s="47">
        <v>36.301369863013697</v>
      </c>
      <c r="C43" s="48">
        <v>3.803507153492236E-2</v>
      </c>
    </row>
    <row r="44" spans="1:3">
      <c r="A44" s="46" t="s">
        <v>19</v>
      </c>
      <c r="B44" s="47">
        <v>25.000000000000011</v>
      </c>
      <c r="C44" s="48">
        <v>2.7700782179088983E-2</v>
      </c>
    </row>
    <row r="45" spans="1:3">
      <c r="A45" s="46" t="s">
        <v>20</v>
      </c>
      <c r="B45" s="47">
        <v>16.364689771410525</v>
      </c>
      <c r="C45" s="48">
        <v>5.9387849486798809E-2</v>
      </c>
    </row>
    <row r="46" spans="1:3">
      <c r="A46" s="46" t="s">
        <v>21</v>
      </c>
      <c r="B46" s="47">
        <v>13.450498539631383</v>
      </c>
      <c r="C46" s="48">
        <v>9.9083718810576191E-2</v>
      </c>
    </row>
    <row r="58" spans="3:10" ht="15.6">
      <c r="C58" s="126" t="s">
        <v>131</v>
      </c>
      <c r="D58" s="126"/>
      <c r="E58" s="126"/>
      <c r="F58" s="126"/>
      <c r="G58" s="126"/>
      <c r="H58" s="126"/>
      <c r="I58" s="49"/>
      <c r="J58" s="49"/>
    </row>
    <row r="59" spans="3:10" ht="15.6">
      <c r="C59" s="127" t="s">
        <v>132</v>
      </c>
      <c r="D59" s="127"/>
      <c r="E59" s="127"/>
      <c r="F59" s="127"/>
      <c r="G59" s="127"/>
      <c r="H59" s="127"/>
      <c r="I59" s="127"/>
      <c r="J59" s="127"/>
    </row>
    <row r="60" spans="3:10">
      <c r="C60" s="50"/>
    </row>
    <row r="62" spans="3:10">
      <c r="C62" s="50"/>
    </row>
    <row r="64" spans="3:10">
      <c r="C64" s="50"/>
    </row>
    <row r="65" spans="1:4" ht="18.600000000000001">
      <c r="A65" s="30" t="s">
        <v>1</v>
      </c>
      <c r="B65" s="31" t="s">
        <v>130</v>
      </c>
      <c r="C65" s="21" t="s">
        <v>61</v>
      </c>
      <c r="D65" s="21" t="s">
        <v>80</v>
      </c>
    </row>
    <row r="66" spans="1:4">
      <c r="A66" s="34" t="s">
        <v>9</v>
      </c>
      <c r="B66" s="47">
        <v>72.544252091032874</v>
      </c>
      <c r="C66" s="8">
        <v>0.25479248625475714</v>
      </c>
      <c r="D66" s="11">
        <f>B66/C66</f>
        <v>284.71896152580689</v>
      </c>
    </row>
    <row r="67" spans="1:4">
      <c r="A67" s="34" t="s">
        <v>10</v>
      </c>
      <c r="B67" s="47">
        <v>51.139829828222823</v>
      </c>
      <c r="C67" s="8">
        <v>0.2665647596489939</v>
      </c>
      <c r="D67" s="11">
        <f t="shared" ref="D67:D78" si="7">B67/C67</f>
        <v>191.84767669800962</v>
      </c>
    </row>
    <row r="68" spans="1:4">
      <c r="A68" s="34" t="s">
        <v>11</v>
      </c>
      <c r="B68" s="47">
        <v>68.021730985387791</v>
      </c>
      <c r="C68" s="8">
        <v>0.24876220922669601</v>
      </c>
      <c r="D68" s="11">
        <f t="shared" si="7"/>
        <v>273.44077380901479</v>
      </c>
    </row>
    <row r="69" spans="1:4">
      <c r="A69" s="34" t="s">
        <v>12</v>
      </c>
      <c r="B69" s="47">
        <v>32.493125572868934</v>
      </c>
      <c r="C69" s="8">
        <v>0.24045908002074934</v>
      </c>
      <c r="D69" s="11">
        <f t="shared" si="7"/>
        <v>135.12954291459937</v>
      </c>
    </row>
    <row r="70" spans="1:4">
      <c r="A70" s="34" t="s">
        <v>13</v>
      </c>
      <c r="B70" s="47">
        <v>39.008194405199205</v>
      </c>
      <c r="C70" s="8">
        <v>0.22939153077564695</v>
      </c>
      <c r="D70" s="11">
        <f t="shared" si="7"/>
        <v>170.05071753651882</v>
      </c>
    </row>
    <row r="71" spans="1:4">
      <c r="A71" s="34" t="s">
        <v>14</v>
      </c>
      <c r="B71" s="47">
        <v>30.122090805036237</v>
      </c>
      <c r="C71" s="8">
        <v>0.20534708516324557</v>
      </c>
      <c r="D71" s="11">
        <f t="shared" si="7"/>
        <v>146.68866997108802</v>
      </c>
    </row>
    <row r="72" spans="1:4">
      <c r="A72" s="34" t="s">
        <v>15</v>
      </c>
      <c r="B72" s="47">
        <v>22.572284299043901</v>
      </c>
      <c r="C72" s="8">
        <v>0.19496614247882196</v>
      </c>
      <c r="D72" s="11">
        <f t="shared" si="7"/>
        <v>115.77540598617422</v>
      </c>
    </row>
    <row r="73" spans="1:4">
      <c r="A73" s="34" t="s">
        <v>16</v>
      </c>
      <c r="B73" s="47">
        <v>14.648537711647002</v>
      </c>
      <c r="C73" s="8">
        <v>0.16855272679079111</v>
      </c>
      <c r="D73" s="11">
        <f t="shared" si="7"/>
        <v>86.907746854958177</v>
      </c>
    </row>
    <row r="74" spans="1:4">
      <c r="A74" s="34" t="s">
        <v>17</v>
      </c>
      <c r="B74" s="47">
        <v>9.3387962701327982</v>
      </c>
      <c r="C74" s="8">
        <v>0.15019812620948753</v>
      </c>
      <c r="D74" s="11">
        <f t="shared" si="7"/>
        <v>62.176516484017874</v>
      </c>
    </row>
    <row r="75" spans="1:4">
      <c r="A75" s="34" t="s">
        <v>18</v>
      </c>
      <c r="B75" s="47">
        <v>36.301369863013697</v>
      </c>
      <c r="C75" s="16">
        <v>0.22087830294008207</v>
      </c>
      <c r="D75" s="11">
        <f t="shared" si="7"/>
        <v>164.35009405546373</v>
      </c>
    </row>
    <row r="76" spans="1:4">
      <c r="A76" s="34" t="s">
        <v>19</v>
      </c>
      <c r="B76" s="47">
        <v>25.000000000000011</v>
      </c>
      <c r="C76" s="16">
        <v>0.22210840007450242</v>
      </c>
      <c r="D76" s="11">
        <f t="shared" si="7"/>
        <v>112.55765199161398</v>
      </c>
    </row>
    <row r="77" spans="1:4">
      <c r="A77" s="34" t="s">
        <v>20</v>
      </c>
      <c r="B77" s="47">
        <v>16.364689771410525</v>
      </c>
      <c r="C77" s="16">
        <v>0.21865101546487486</v>
      </c>
      <c r="D77" s="11">
        <f t="shared" si="7"/>
        <v>74.843877292851758</v>
      </c>
    </row>
    <row r="78" spans="1:4">
      <c r="A78" s="34" t="s">
        <v>21</v>
      </c>
      <c r="B78" s="47">
        <v>13.450498539631383</v>
      </c>
      <c r="C78" s="16">
        <v>0.21080831408776088</v>
      </c>
      <c r="D78" s="11">
        <f t="shared" si="7"/>
        <v>63.804402581730493</v>
      </c>
    </row>
  </sheetData>
  <mergeCells count="2">
    <mergeCell ref="C58:H58"/>
    <mergeCell ref="C59:J59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48C45-D23D-40AC-8569-909861E3C69F}">
  <dimension ref="A1:K93"/>
  <sheetViews>
    <sheetView topLeftCell="A73" workbookViewId="0">
      <selection activeCell="G81" sqref="G81"/>
    </sheetView>
  </sheetViews>
  <sheetFormatPr defaultColWidth="8.85546875" defaultRowHeight="14.45"/>
  <cols>
    <col min="1" max="1" width="11.85546875" bestFit="1" customWidth="1"/>
    <col min="2" max="2" width="21" bestFit="1" customWidth="1"/>
    <col min="3" max="3" width="14.85546875" bestFit="1" customWidth="1"/>
    <col min="4" max="4" width="21.28515625" customWidth="1"/>
    <col min="5" max="5" width="13.140625" bestFit="1" customWidth="1"/>
    <col min="6" max="6" width="39.7109375" bestFit="1" customWidth="1"/>
    <col min="7" max="7" width="14.28515625" customWidth="1"/>
    <col min="8" max="8" width="26" bestFit="1" customWidth="1"/>
    <col min="9" max="9" width="14.140625" bestFit="1" customWidth="1"/>
    <col min="10" max="10" width="17.42578125" bestFit="1" customWidth="1"/>
    <col min="11" max="12" width="16" customWidth="1"/>
  </cols>
  <sheetData>
    <row r="1" spans="1:11" s="1" customFormat="1">
      <c r="A1" s="38" t="s">
        <v>1</v>
      </c>
      <c r="B1" s="38" t="s">
        <v>82</v>
      </c>
      <c r="C1" s="38" t="s">
        <v>83</v>
      </c>
      <c r="D1" s="38" t="s">
        <v>84</v>
      </c>
      <c r="E1" s="38" t="s">
        <v>85</v>
      </c>
    </row>
    <row r="2" spans="1:11" s="1" customFormat="1">
      <c r="A2" s="1" t="s">
        <v>86</v>
      </c>
      <c r="B2" s="1">
        <v>750</v>
      </c>
      <c r="C2" s="1">
        <v>3.4420000000000002</v>
      </c>
      <c r="D2" s="1">
        <f t="shared" ref="D2:D9" si="0">$H$6 + (($H$3 - $H$6)/(1 + (B2/$H$5)^$H$4))</f>
        <v>3.203125</v>
      </c>
      <c r="E2" s="1">
        <f t="shared" ref="E2:E9" si="1">(C2-D2)^2</f>
        <v>5.7061265625000079E-2</v>
      </c>
      <c r="H2" s="1" t="s">
        <v>87</v>
      </c>
    </row>
    <row r="3" spans="1:11" s="1" customFormat="1">
      <c r="A3" s="1" t="s">
        <v>88</v>
      </c>
      <c r="B3" s="1">
        <v>250</v>
      </c>
      <c r="C3" s="1">
        <v>3.1545000000000001</v>
      </c>
      <c r="D3" s="1">
        <f t="shared" si="0"/>
        <v>2.875</v>
      </c>
      <c r="E3" s="1">
        <f t="shared" si="1"/>
        <v>7.8120250000000044E-2</v>
      </c>
      <c r="G3" s="52" t="s">
        <v>89</v>
      </c>
      <c r="H3" s="1">
        <v>0.25</v>
      </c>
    </row>
    <row r="4" spans="1:11" s="1" customFormat="1">
      <c r="A4" s="1" t="s">
        <v>90</v>
      </c>
      <c r="B4" s="1">
        <v>83.3</v>
      </c>
      <c r="C4" s="1">
        <v>2.3039999999999998</v>
      </c>
      <c r="D4" s="1">
        <f t="shared" si="0"/>
        <v>2.2184546136534133</v>
      </c>
      <c r="E4" s="1">
        <f t="shared" si="1"/>
        <v>7.3180131251867446E-3</v>
      </c>
      <c r="G4" s="52" t="s">
        <v>91</v>
      </c>
      <c r="H4" s="1">
        <v>1</v>
      </c>
    </row>
    <row r="5" spans="1:11" s="1" customFormat="1">
      <c r="A5" s="1" t="s">
        <v>92</v>
      </c>
      <c r="B5" s="1">
        <v>27.7</v>
      </c>
      <c r="C5" s="1">
        <v>1.208</v>
      </c>
      <c r="D5" s="1">
        <f t="shared" si="0"/>
        <v>1.3729729729729727</v>
      </c>
      <c r="E5" s="1">
        <f t="shared" si="1"/>
        <v>2.7216081811541198E-2</v>
      </c>
      <c r="G5" s="52" t="s">
        <v>93</v>
      </c>
      <c r="H5" s="1">
        <v>50</v>
      </c>
    </row>
    <row r="6" spans="1:11" s="1" customFormat="1">
      <c r="A6" s="1" t="s">
        <v>94</v>
      </c>
      <c r="B6" s="1">
        <v>9.26</v>
      </c>
      <c r="C6" s="1">
        <v>0.8165</v>
      </c>
      <c r="D6" s="1">
        <f t="shared" si="0"/>
        <v>0.74222072224097202</v>
      </c>
      <c r="E6" s="1">
        <f t="shared" si="1"/>
        <v>5.5174111044028291E-3</v>
      </c>
      <c r="G6" s="52" t="s">
        <v>95</v>
      </c>
      <c r="H6" s="1">
        <v>3.4</v>
      </c>
    </row>
    <row r="7" spans="1:11" s="1" customFormat="1">
      <c r="A7" s="1" t="s">
        <v>96</v>
      </c>
      <c r="B7" s="1">
        <v>3</v>
      </c>
      <c r="C7" s="1">
        <v>0.48099999999999998</v>
      </c>
      <c r="D7" s="1">
        <f t="shared" si="0"/>
        <v>0.42830188679245307</v>
      </c>
      <c r="E7" s="1">
        <f t="shared" si="1"/>
        <v>2.7770911356354306E-3</v>
      </c>
    </row>
    <row r="8" spans="1:11" s="1" customFormat="1">
      <c r="A8" s="1" t="s">
        <v>97</v>
      </c>
      <c r="B8" s="1">
        <v>1</v>
      </c>
      <c r="C8" s="1">
        <v>0.34699999999999998</v>
      </c>
      <c r="D8" s="1">
        <f t="shared" si="0"/>
        <v>0.31176470588235317</v>
      </c>
      <c r="E8" s="1">
        <f t="shared" si="1"/>
        <v>1.2415259515570758E-3</v>
      </c>
    </row>
    <row r="9" spans="1:11" s="1" customFormat="1">
      <c r="A9" s="1" t="s">
        <v>98</v>
      </c>
      <c r="C9" s="1">
        <v>0.248</v>
      </c>
      <c r="D9" s="1">
        <f t="shared" si="0"/>
        <v>0.25</v>
      </c>
      <c r="E9" s="1">
        <f t="shared" si="1"/>
        <v>4.0000000000000074E-6</v>
      </c>
      <c r="F9" s="38" t="s">
        <v>99</v>
      </c>
      <c r="G9" s="38"/>
    </row>
    <row r="10" spans="1:11">
      <c r="F10" t="s">
        <v>100</v>
      </c>
    </row>
    <row r="11" spans="1:11">
      <c r="D11" s="41" t="s">
        <v>101</v>
      </c>
      <c r="E11">
        <f>SUM(E2:E9)</f>
        <v>0.1792556387533234</v>
      </c>
      <c r="F11" t="s">
        <v>102</v>
      </c>
    </row>
    <row r="12" spans="1:11">
      <c r="D12" s="41" t="s">
        <v>103</v>
      </c>
      <c r="E12">
        <f>AVERAGE(C2:C9)</f>
        <v>1.5001249999999999</v>
      </c>
    </row>
    <row r="13" spans="1:11">
      <c r="D13" s="41" t="s">
        <v>104</v>
      </c>
      <c r="E13" t="e">
        <f>SUMXMY2(C2:C9,E12)</f>
        <v>#N/A</v>
      </c>
    </row>
    <row r="14" spans="1:11">
      <c r="D14" s="41" t="s">
        <v>105</v>
      </c>
      <c r="E14" t="e">
        <f>1-(E11/E13)</f>
        <v>#N/A</v>
      </c>
    </row>
    <row r="16" spans="1:11">
      <c r="A16" s="38" t="s">
        <v>106</v>
      </c>
      <c r="B16" s="38" t="s">
        <v>107</v>
      </c>
      <c r="C16" s="38" t="s">
        <v>108</v>
      </c>
      <c r="D16" s="38" t="s">
        <v>109</v>
      </c>
      <c r="E16" s="38" t="s">
        <v>110</v>
      </c>
      <c r="F16" s="38" t="s">
        <v>111</v>
      </c>
      <c r="G16" s="38" t="s">
        <v>63</v>
      </c>
      <c r="H16" s="38" t="s">
        <v>113</v>
      </c>
      <c r="I16" s="38" t="s">
        <v>114</v>
      </c>
      <c r="J16" s="38" t="s">
        <v>115</v>
      </c>
      <c r="K16" s="38" t="s">
        <v>116</v>
      </c>
    </row>
    <row r="17" spans="1:11">
      <c r="A17" s="1" t="s">
        <v>117</v>
      </c>
      <c r="B17" s="53">
        <v>1.821</v>
      </c>
      <c r="C17" s="53">
        <v>1.82</v>
      </c>
      <c r="D17" s="53">
        <v>1.9259999999999999</v>
      </c>
      <c r="E17" s="53">
        <v>1.8640000000000001</v>
      </c>
      <c r="F17" s="1">
        <f t="shared" ref="F17:F29" si="2">AVERAGE(B17:E17)</f>
        <v>1.85775</v>
      </c>
      <c r="G17" s="1">
        <f>_xlfn.STDEV.S(B17:E17)</f>
        <v>4.9909084009493343E-2</v>
      </c>
      <c r="H17" s="1">
        <f t="shared" ref="H17:H29" si="3">IFERROR($H$5 * POWER(((($H$3-$H$6)/(F17-$H$6)) - 1),1/$H$4),"")</f>
        <v>52.123520829956234</v>
      </c>
      <c r="I17" s="1">
        <v>30000</v>
      </c>
      <c r="J17" s="1">
        <f t="shared" ref="J17:J29" si="4">IF(H17="","",H17*I17)</f>
        <v>1563705.624898687</v>
      </c>
      <c r="K17" s="54">
        <f>J17*10^-6</f>
        <v>1.5637056248986869</v>
      </c>
    </row>
    <row r="18" spans="1:11">
      <c r="A18" s="1" t="s">
        <v>118</v>
      </c>
      <c r="B18" s="53">
        <v>2.536</v>
      </c>
      <c r="C18" s="53">
        <v>2.5619999999999998</v>
      </c>
      <c r="D18" s="53">
        <v>2.5499999999999998</v>
      </c>
      <c r="E18" s="53">
        <v>2.488</v>
      </c>
      <c r="F18" s="1">
        <f t="shared" si="2"/>
        <v>2.5339999999999998</v>
      </c>
      <c r="G18" s="1">
        <f t="shared" ref="G18:G29" si="5">_xlfn.STDEV.S(B18:E18)</f>
        <v>3.2455097185701491E-2</v>
      </c>
      <c r="H18" s="1">
        <f t="shared" si="3"/>
        <v>131.87066974595839</v>
      </c>
      <c r="I18" s="1">
        <v>30000</v>
      </c>
      <c r="J18" s="1">
        <f t="shared" si="4"/>
        <v>3956120.0923787518</v>
      </c>
      <c r="K18" s="54">
        <f t="shared" ref="K18:K29" si="6">J18*10^-6</f>
        <v>3.9561200923787516</v>
      </c>
    </row>
    <row r="19" spans="1:11">
      <c r="A19" s="1" t="s">
        <v>119</v>
      </c>
      <c r="B19" s="53">
        <v>2.6709999999999998</v>
      </c>
      <c r="C19" s="53">
        <v>2.7589999999999999</v>
      </c>
      <c r="D19" s="53">
        <v>2.5950000000000002</v>
      </c>
      <c r="E19" s="53">
        <v>2.593</v>
      </c>
      <c r="F19" s="1">
        <f t="shared" si="2"/>
        <v>2.6545000000000001</v>
      </c>
      <c r="G19" s="1">
        <f t="shared" si="5"/>
        <v>7.8559955872356826E-2</v>
      </c>
      <c r="H19" s="1">
        <f t="shared" si="3"/>
        <v>161.26760563380284</v>
      </c>
      <c r="I19" s="1">
        <v>30000</v>
      </c>
      <c r="J19" s="1">
        <f t="shared" si="4"/>
        <v>4838028.1690140851</v>
      </c>
      <c r="K19" s="54">
        <f t="shared" si="6"/>
        <v>4.8380281690140849</v>
      </c>
    </row>
    <row r="20" spans="1:11">
      <c r="A20" s="1" t="s">
        <v>120</v>
      </c>
      <c r="B20" s="53">
        <v>2.06</v>
      </c>
      <c r="C20" s="53">
        <v>2.1619999999999999</v>
      </c>
      <c r="D20" s="53">
        <v>2.1280000000000001</v>
      </c>
      <c r="E20" s="53">
        <v>1.96</v>
      </c>
      <c r="F20" s="1">
        <f t="shared" si="2"/>
        <v>2.0774999999999997</v>
      </c>
      <c r="G20" s="1">
        <f t="shared" si="5"/>
        <v>8.9074874871275203E-2</v>
      </c>
      <c r="H20" s="1">
        <f t="shared" si="3"/>
        <v>69.092627599243841</v>
      </c>
      <c r="I20" s="1">
        <v>30000</v>
      </c>
      <c r="J20" s="1">
        <f t="shared" si="4"/>
        <v>2072778.8279773153</v>
      </c>
      <c r="K20" s="54">
        <f t="shared" si="6"/>
        <v>2.0727788279773152</v>
      </c>
    </row>
    <row r="21" spans="1:11">
      <c r="A21" s="1" t="s">
        <v>121</v>
      </c>
      <c r="B21" s="53">
        <v>2.56</v>
      </c>
      <c r="C21" s="53">
        <v>2.6429999999999998</v>
      </c>
      <c r="D21" s="53">
        <v>2.4369999999999998</v>
      </c>
      <c r="E21" s="53">
        <v>2.6560000000000001</v>
      </c>
      <c r="F21" s="1">
        <f t="shared" si="2"/>
        <v>2.5739999999999998</v>
      </c>
      <c r="G21" s="1">
        <f t="shared" si="5"/>
        <v>0.10074720839804949</v>
      </c>
      <c r="H21" s="1">
        <f t="shared" si="3"/>
        <v>140.67796610169489</v>
      </c>
      <c r="I21" s="1">
        <v>30000</v>
      </c>
      <c r="J21" s="1">
        <f t="shared" si="4"/>
        <v>4220338.9830508465</v>
      </c>
      <c r="K21" s="54">
        <f t="shared" si="6"/>
        <v>4.220338983050846</v>
      </c>
    </row>
    <row r="22" spans="1:11">
      <c r="A22" s="1" t="s">
        <v>122</v>
      </c>
      <c r="B22" s="53">
        <v>2.379</v>
      </c>
      <c r="C22" s="53">
        <v>2.2130000000000001</v>
      </c>
      <c r="D22" s="53">
        <v>2.2989999999999999</v>
      </c>
      <c r="E22" s="53">
        <v>2.29</v>
      </c>
      <c r="F22" s="1">
        <f t="shared" si="2"/>
        <v>2.2952500000000002</v>
      </c>
      <c r="G22" s="1">
        <f t="shared" si="5"/>
        <v>6.7874271021254151E-2</v>
      </c>
      <c r="H22" s="1">
        <f t="shared" si="3"/>
        <v>92.566191446028554</v>
      </c>
      <c r="I22" s="1">
        <v>30000</v>
      </c>
      <c r="J22" s="1">
        <f t="shared" si="4"/>
        <v>2776985.7433808567</v>
      </c>
      <c r="K22" s="54">
        <f t="shared" si="6"/>
        <v>2.7769857433808567</v>
      </c>
    </row>
    <row r="23" spans="1:11">
      <c r="A23" s="1" t="s">
        <v>123</v>
      </c>
      <c r="B23" s="53">
        <v>1.387</v>
      </c>
      <c r="C23" s="53">
        <v>1.4379999999999999</v>
      </c>
      <c r="D23" s="53">
        <v>1.4319999999999999</v>
      </c>
      <c r="E23" s="53">
        <v>1.458</v>
      </c>
      <c r="F23" s="1">
        <f t="shared" si="2"/>
        <v>1.42875</v>
      </c>
      <c r="G23" s="1">
        <f t="shared" si="5"/>
        <v>2.9970819141291394E-2</v>
      </c>
      <c r="H23" s="1">
        <f t="shared" si="3"/>
        <v>29.898541534559286</v>
      </c>
      <c r="I23" s="1">
        <v>30000</v>
      </c>
      <c r="J23" s="1">
        <f t="shared" si="4"/>
        <v>896956.24603677855</v>
      </c>
      <c r="K23" s="54">
        <f t="shared" si="6"/>
        <v>0.89695624603677848</v>
      </c>
    </row>
    <row r="24" spans="1:11">
      <c r="A24" s="1" t="s">
        <v>124</v>
      </c>
      <c r="B24" s="53">
        <v>1.734</v>
      </c>
      <c r="C24" s="53">
        <v>1.6459999999999999</v>
      </c>
      <c r="D24" s="53">
        <v>1.7230000000000001</v>
      </c>
      <c r="E24" s="53">
        <v>1.621</v>
      </c>
      <c r="F24" s="1">
        <f t="shared" si="2"/>
        <v>1.681</v>
      </c>
      <c r="G24" s="1">
        <f t="shared" si="5"/>
        <v>5.5970230182362753E-2</v>
      </c>
      <c r="H24" s="1">
        <f t="shared" si="3"/>
        <v>41.623036649214662</v>
      </c>
      <c r="I24" s="1">
        <v>30000</v>
      </c>
      <c r="J24" s="1">
        <f t="shared" si="4"/>
        <v>1248691.0994764399</v>
      </c>
      <c r="K24" s="54">
        <f t="shared" si="6"/>
        <v>1.2486910994764397</v>
      </c>
    </row>
    <row r="25" spans="1:11">
      <c r="A25" s="1" t="s">
        <v>125</v>
      </c>
      <c r="B25" s="53">
        <v>1.22</v>
      </c>
      <c r="C25" s="53">
        <v>1.288</v>
      </c>
      <c r="D25" s="53">
        <v>1.2969999999999999</v>
      </c>
      <c r="E25" s="53">
        <v>1.268</v>
      </c>
      <c r="F25" s="1">
        <f t="shared" si="2"/>
        <v>1.2682499999999999</v>
      </c>
      <c r="G25" s="1">
        <f t="shared" si="5"/>
        <v>3.4374166656565411E-2</v>
      </c>
      <c r="H25" s="1">
        <f t="shared" si="3"/>
        <v>23.882960009381947</v>
      </c>
      <c r="I25" s="1">
        <v>30000</v>
      </c>
      <c r="J25" s="1">
        <f t="shared" si="4"/>
        <v>716488.80028145842</v>
      </c>
      <c r="K25" s="54">
        <f t="shared" si="6"/>
        <v>0.71648880028145834</v>
      </c>
    </row>
    <row r="26" spans="1:11">
      <c r="A26" s="1" t="s">
        <v>126</v>
      </c>
      <c r="B26" s="53">
        <v>2.181</v>
      </c>
      <c r="C26" s="53">
        <v>2.1739999999999999</v>
      </c>
      <c r="D26" s="53">
        <v>2.1320000000000001</v>
      </c>
      <c r="E26" s="53">
        <v>2.11</v>
      </c>
      <c r="F26" s="1">
        <f t="shared" si="2"/>
        <v>2.1492499999999999</v>
      </c>
      <c r="G26" s="1">
        <f t="shared" si="5"/>
        <v>3.3954626587059805E-2</v>
      </c>
      <c r="H26" s="1">
        <f t="shared" si="3"/>
        <v>75.924445332800317</v>
      </c>
      <c r="I26" s="1">
        <v>30000</v>
      </c>
      <c r="J26" s="1">
        <f t="shared" si="4"/>
        <v>2277733.3599840095</v>
      </c>
      <c r="K26" s="54">
        <f t="shared" si="6"/>
        <v>2.2777333599840093</v>
      </c>
    </row>
    <row r="27" spans="1:11">
      <c r="A27" s="1" t="s">
        <v>127</v>
      </c>
      <c r="B27" s="53">
        <v>1.9950000000000001</v>
      </c>
      <c r="C27" s="53">
        <v>2.1219999999999999</v>
      </c>
      <c r="D27" s="53">
        <v>2.0030000000000001</v>
      </c>
      <c r="E27" s="53">
        <v>1.9810000000000001</v>
      </c>
      <c r="F27" s="1">
        <f t="shared" si="2"/>
        <v>2.0252500000000002</v>
      </c>
      <c r="G27" s="1">
        <f t="shared" si="5"/>
        <v>6.5137674710313787E-2</v>
      </c>
      <c r="H27" s="1">
        <f t="shared" si="3"/>
        <v>64.566284779050747</v>
      </c>
      <c r="I27" s="1">
        <v>30000</v>
      </c>
      <c r="J27" s="1">
        <f t="shared" si="4"/>
        <v>1936988.5433715223</v>
      </c>
      <c r="K27" s="54">
        <f t="shared" si="6"/>
        <v>1.9369885433715222</v>
      </c>
    </row>
    <row r="28" spans="1:11">
      <c r="A28" s="1" t="s">
        <v>128</v>
      </c>
      <c r="B28" s="53">
        <v>1.7330000000000001</v>
      </c>
      <c r="C28" s="53">
        <v>1.72</v>
      </c>
      <c r="D28" s="53">
        <v>1.7749999999999999</v>
      </c>
      <c r="E28" s="53">
        <v>1.64</v>
      </c>
      <c r="F28" s="1">
        <f t="shared" si="2"/>
        <v>1.7169999999999999</v>
      </c>
      <c r="G28" s="1">
        <f t="shared" si="5"/>
        <v>5.6444663166680363E-2</v>
      </c>
      <c r="H28" s="1">
        <f t="shared" si="3"/>
        <v>43.582887700534755</v>
      </c>
      <c r="I28" s="1">
        <v>30000</v>
      </c>
      <c r="J28" s="1">
        <f t="shared" si="4"/>
        <v>1307486.6310160425</v>
      </c>
      <c r="K28" s="54">
        <f t="shared" si="6"/>
        <v>1.3074866310160425</v>
      </c>
    </row>
    <row r="29" spans="1:11">
      <c r="A29" s="1" t="s">
        <v>129</v>
      </c>
      <c r="B29" s="53">
        <v>1.012</v>
      </c>
      <c r="C29" s="53">
        <v>1.0580000000000001</v>
      </c>
      <c r="D29" s="53">
        <v>1.0629999999999999</v>
      </c>
      <c r="E29" s="53">
        <v>1.0740000000000001</v>
      </c>
      <c r="F29" s="1">
        <f t="shared" si="2"/>
        <v>1.05175</v>
      </c>
      <c r="G29" s="1">
        <f t="shared" si="5"/>
        <v>2.7329776191302172E-2</v>
      </c>
      <c r="H29" s="1">
        <f t="shared" si="3"/>
        <v>17.071223251357392</v>
      </c>
      <c r="I29" s="1">
        <v>30000</v>
      </c>
      <c r="J29" s="1">
        <f t="shared" si="4"/>
        <v>512136.69754072174</v>
      </c>
      <c r="K29" s="54">
        <f t="shared" si="6"/>
        <v>0.51213669754072166</v>
      </c>
    </row>
    <row r="33" spans="1:6" ht="15.6">
      <c r="A33" s="55" t="s">
        <v>133</v>
      </c>
      <c r="B33" s="55">
        <v>450</v>
      </c>
      <c r="D33" s="44" t="s">
        <v>1</v>
      </c>
      <c r="E33" s="45" t="s">
        <v>134</v>
      </c>
    </row>
    <row r="34" spans="1:6">
      <c r="A34" s="56" t="s">
        <v>135</v>
      </c>
      <c r="B34" s="56">
        <v>1.821</v>
      </c>
      <c r="D34" s="46" t="s">
        <v>9</v>
      </c>
      <c r="E34" s="47">
        <v>1.5637056248986869</v>
      </c>
    </row>
    <row r="35" spans="1:6">
      <c r="A35" s="56" t="s">
        <v>136</v>
      </c>
      <c r="B35" s="56">
        <v>1.82</v>
      </c>
      <c r="D35" s="46" t="s">
        <v>10</v>
      </c>
      <c r="E35" s="47">
        <v>3.9561200923787516</v>
      </c>
    </row>
    <row r="36" spans="1:6">
      <c r="A36" s="56" t="s">
        <v>137</v>
      </c>
      <c r="B36" s="56">
        <v>1.9259999999999999</v>
      </c>
      <c r="D36" s="46" t="s">
        <v>11</v>
      </c>
      <c r="E36" s="47">
        <v>4.8380281690140849</v>
      </c>
    </row>
    <row r="37" spans="1:6">
      <c r="A37" s="56" t="s">
        <v>138</v>
      </c>
      <c r="B37" s="56">
        <v>1.8640000000000001</v>
      </c>
      <c r="D37" s="46" t="s">
        <v>12</v>
      </c>
      <c r="E37" s="47">
        <v>2.0727788279773152</v>
      </c>
    </row>
    <row r="38" spans="1:6">
      <c r="A38" s="56" t="s">
        <v>139</v>
      </c>
      <c r="B38" s="56">
        <v>2.536</v>
      </c>
      <c r="D38" s="46" t="s">
        <v>13</v>
      </c>
      <c r="E38" s="47">
        <v>4.220338983050846</v>
      </c>
    </row>
    <row r="39" spans="1:6">
      <c r="A39" s="56" t="s">
        <v>140</v>
      </c>
      <c r="B39" s="56">
        <v>2.5619999999999998</v>
      </c>
      <c r="D39" s="46" t="s">
        <v>14</v>
      </c>
      <c r="E39" s="47">
        <v>2.7769857433808567</v>
      </c>
    </row>
    <row r="40" spans="1:6">
      <c r="A40" s="56" t="s">
        <v>141</v>
      </c>
      <c r="B40" s="56">
        <v>2.5499999999999998</v>
      </c>
      <c r="D40" s="46" t="s">
        <v>15</v>
      </c>
      <c r="E40" s="47">
        <v>0.89695624603677848</v>
      </c>
    </row>
    <row r="41" spans="1:6">
      <c r="A41" s="56" t="s">
        <v>142</v>
      </c>
      <c r="B41" s="56">
        <v>2.488</v>
      </c>
      <c r="D41" s="46" t="s">
        <v>16</v>
      </c>
      <c r="E41" s="47">
        <v>1.2486910994764397</v>
      </c>
    </row>
    <row r="42" spans="1:6">
      <c r="A42" s="56" t="s">
        <v>143</v>
      </c>
      <c r="B42" s="56">
        <v>2.6709999999999998</v>
      </c>
      <c r="D42" s="46" t="s">
        <v>17</v>
      </c>
      <c r="E42" s="47">
        <v>0.71648880028145834</v>
      </c>
      <c r="F42" t="s">
        <v>144</v>
      </c>
    </row>
    <row r="43" spans="1:6">
      <c r="A43" s="56" t="s">
        <v>145</v>
      </c>
      <c r="B43" s="56">
        <v>2.7589999999999999</v>
      </c>
      <c r="D43" s="46" t="s">
        <v>18</v>
      </c>
      <c r="E43" s="47">
        <v>2.2777333599840093</v>
      </c>
      <c r="F43" s="57">
        <f>E39-E43</f>
        <v>0.49925238339684741</v>
      </c>
    </row>
    <row r="44" spans="1:6">
      <c r="A44" s="56" t="s">
        <v>146</v>
      </c>
      <c r="B44" s="56">
        <v>2.5950000000000002</v>
      </c>
      <c r="D44" s="46" t="s">
        <v>19</v>
      </c>
      <c r="E44" s="47">
        <v>1.9369885433715222</v>
      </c>
      <c r="F44" s="57">
        <f t="shared" ref="F44:F46" si="7">E40-E44</f>
        <v>-1.0400322973347436</v>
      </c>
    </row>
    <row r="45" spans="1:6">
      <c r="A45" s="56" t="s">
        <v>147</v>
      </c>
      <c r="B45" s="56">
        <v>2.593</v>
      </c>
      <c r="D45" s="46" t="s">
        <v>20</v>
      </c>
      <c r="E45" s="47">
        <v>1.3074866310160425</v>
      </c>
      <c r="F45" s="57">
        <f t="shared" si="7"/>
        <v>-5.8795531539602708E-2</v>
      </c>
    </row>
    <row r="46" spans="1:6">
      <c r="A46" s="56" t="s">
        <v>148</v>
      </c>
      <c r="B46" s="56">
        <v>2.06</v>
      </c>
      <c r="D46" s="46" t="s">
        <v>21</v>
      </c>
      <c r="E46" s="47">
        <v>0.51213669754072166</v>
      </c>
      <c r="F46" s="57">
        <f t="shared" si="7"/>
        <v>0.20435210274073667</v>
      </c>
    </row>
    <row r="47" spans="1:6">
      <c r="A47" s="56" t="s">
        <v>149</v>
      </c>
      <c r="B47" s="56">
        <v>2.1619999999999999</v>
      </c>
    </row>
    <row r="48" spans="1:6">
      <c r="A48" s="56" t="s">
        <v>150</v>
      </c>
      <c r="B48" s="56">
        <v>2.1280000000000001</v>
      </c>
    </row>
    <row r="49" spans="1:6">
      <c r="A49" s="56" t="s">
        <v>151</v>
      </c>
      <c r="B49" s="56">
        <v>1.96</v>
      </c>
    </row>
    <row r="50" spans="1:6">
      <c r="A50" s="56" t="s">
        <v>152</v>
      </c>
      <c r="B50" s="56">
        <v>2.56</v>
      </c>
    </row>
    <row r="51" spans="1:6">
      <c r="A51" s="56" t="s">
        <v>153</v>
      </c>
      <c r="B51" s="56">
        <v>2.6429999999999998</v>
      </c>
    </row>
    <row r="52" spans="1:6">
      <c r="A52" s="56" t="s">
        <v>154</v>
      </c>
      <c r="B52" s="56">
        <v>2.4369999999999998</v>
      </c>
    </row>
    <row r="53" spans="1:6">
      <c r="A53" s="56" t="s">
        <v>155</v>
      </c>
      <c r="B53" s="56">
        <v>2.6560000000000001</v>
      </c>
    </row>
    <row r="54" spans="1:6">
      <c r="A54" s="56" t="s">
        <v>156</v>
      </c>
      <c r="B54" s="56">
        <v>2.379</v>
      </c>
    </row>
    <row r="55" spans="1:6">
      <c r="A55" s="56" t="s">
        <v>157</v>
      </c>
      <c r="B55" s="56">
        <v>2.2130000000000001</v>
      </c>
    </row>
    <row r="56" spans="1:6">
      <c r="A56" s="56" t="s">
        <v>158</v>
      </c>
      <c r="B56" s="56">
        <v>2.2989999999999999</v>
      </c>
    </row>
    <row r="57" spans="1:6">
      <c r="A57" s="56" t="s">
        <v>159</v>
      </c>
      <c r="B57" s="56">
        <v>2.29</v>
      </c>
    </row>
    <row r="58" spans="1:6">
      <c r="A58" s="56" t="s">
        <v>160</v>
      </c>
      <c r="B58" s="56">
        <v>1.387</v>
      </c>
    </row>
    <row r="59" spans="1:6" ht="15.6">
      <c r="A59" s="56" t="s">
        <v>161</v>
      </c>
      <c r="B59" s="56">
        <v>1.4379999999999999</v>
      </c>
      <c r="D59" t="s">
        <v>162</v>
      </c>
    </row>
    <row r="60" spans="1:6">
      <c r="A60" s="56" t="s">
        <v>163</v>
      </c>
      <c r="B60" s="56">
        <v>1.4319999999999999</v>
      </c>
    </row>
    <row r="61" spans="1:6">
      <c r="A61" s="56" t="s">
        <v>164</v>
      </c>
      <c r="B61" s="56">
        <v>1.458</v>
      </c>
    </row>
    <row r="62" spans="1:6">
      <c r="A62" s="56" t="s">
        <v>165</v>
      </c>
      <c r="B62" s="56">
        <v>1.734</v>
      </c>
    </row>
    <row r="63" spans="1:6" ht="15.6">
      <c r="A63" s="56" t="s">
        <v>166</v>
      </c>
      <c r="B63" s="56">
        <v>1.6459999999999999</v>
      </c>
      <c r="D63" s="44" t="s">
        <v>1</v>
      </c>
      <c r="E63" s="45" t="s">
        <v>134</v>
      </c>
      <c r="F63" s="40" t="s">
        <v>63</v>
      </c>
    </row>
    <row r="64" spans="1:6">
      <c r="A64" s="56" t="s">
        <v>167</v>
      </c>
      <c r="B64" s="56">
        <v>1.7230000000000001</v>
      </c>
      <c r="D64" s="46" t="s">
        <v>9</v>
      </c>
      <c r="E64" s="47">
        <v>1.5637056248986869</v>
      </c>
      <c r="F64" s="40">
        <v>4.9909084009493343E-2</v>
      </c>
    </row>
    <row r="65" spans="1:7">
      <c r="A65" s="56" t="s">
        <v>168</v>
      </c>
      <c r="B65" s="56">
        <v>1.621</v>
      </c>
      <c r="D65" s="46" t="s">
        <v>10</v>
      </c>
      <c r="E65" s="47">
        <v>3.9561200923787516</v>
      </c>
      <c r="F65" s="40">
        <v>3.2455097185701491E-2</v>
      </c>
    </row>
    <row r="66" spans="1:7">
      <c r="A66" s="56" t="s">
        <v>169</v>
      </c>
      <c r="B66" s="56">
        <v>1.22</v>
      </c>
      <c r="D66" s="46" t="s">
        <v>11</v>
      </c>
      <c r="E66" s="47">
        <v>4.8380281690140849</v>
      </c>
      <c r="F66" s="40">
        <v>7.8559955872356826E-2</v>
      </c>
    </row>
    <row r="67" spans="1:7">
      <c r="A67" s="56" t="s">
        <v>170</v>
      </c>
      <c r="B67" s="56">
        <v>1.288</v>
      </c>
      <c r="D67" s="46" t="s">
        <v>12</v>
      </c>
      <c r="E67" s="47">
        <v>2.0727788279773152</v>
      </c>
      <c r="F67" s="40">
        <v>8.9074874871275203E-2</v>
      </c>
    </row>
    <row r="68" spans="1:7">
      <c r="A68" s="56" t="s">
        <v>171</v>
      </c>
      <c r="B68" s="56">
        <v>1.2969999999999999</v>
      </c>
      <c r="D68" s="46" t="s">
        <v>13</v>
      </c>
      <c r="E68" s="47">
        <v>4.220338983050846</v>
      </c>
      <c r="F68" s="40">
        <v>0.10074720839804949</v>
      </c>
    </row>
    <row r="69" spans="1:7">
      <c r="A69" s="56" t="s">
        <v>172</v>
      </c>
      <c r="B69" s="56">
        <v>1.268</v>
      </c>
      <c r="D69" s="46" t="s">
        <v>14</v>
      </c>
      <c r="E69" s="47">
        <v>2.7769857433808567</v>
      </c>
      <c r="F69" s="40">
        <v>6.7874271021254151E-2</v>
      </c>
    </row>
    <row r="70" spans="1:7">
      <c r="A70" s="56" t="s">
        <v>173</v>
      </c>
      <c r="B70" s="56">
        <v>2.181</v>
      </c>
      <c r="D70" s="46" t="s">
        <v>15</v>
      </c>
      <c r="E70" s="47">
        <v>0.89695624603677848</v>
      </c>
      <c r="F70" s="40">
        <v>2.9970819141291394E-2</v>
      </c>
    </row>
    <row r="71" spans="1:7">
      <c r="A71" s="56" t="s">
        <v>174</v>
      </c>
      <c r="B71" s="56">
        <v>2.1739999999999999</v>
      </c>
      <c r="D71" s="46" t="s">
        <v>16</v>
      </c>
      <c r="E71" s="47">
        <v>1.2486910994764397</v>
      </c>
      <c r="F71" s="40">
        <v>5.5970230182362753E-2</v>
      </c>
    </row>
    <row r="72" spans="1:7">
      <c r="A72" s="56" t="s">
        <v>175</v>
      </c>
      <c r="B72" s="56">
        <v>2.1320000000000001</v>
      </c>
      <c r="D72" s="46" t="s">
        <v>17</v>
      </c>
      <c r="E72" s="47">
        <v>0.71648880028145834</v>
      </c>
      <c r="F72" s="40">
        <v>3.4374166656565411E-2</v>
      </c>
    </row>
    <row r="73" spans="1:7">
      <c r="A73" s="56" t="s">
        <v>176</v>
      </c>
      <c r="B73" s="56">
        <v>2.11</v>
      </c>
      <c r="D73" s="46" t="s">
        <v>18</v>
      </c>
      <c r="E73" s="47">
        <v>2.2777333599840093</v>
      </c>
      <c r="F73" s="40">
        <v>3.3954626587059805E-2</v>
      </c>
    </row>
    <row r="74" spans="1:7">
      <c r="A74" s="56" t="s">
        <v>177</v>
      </c>
      <c r="B74" s="56">
        <v>1.9950000000000001</v>
      </c>
      <c r="D74" s="46" t="s">
        <v>19</v>
      </c>
      <c r="E74" s="47">
        <v>1.9369885433715222</v>
      </c>
      <c r="F74" s="40">
        <v>6.5137674710313787E-2</v>
      </c>
    </row>
    <row r="75" spans="1:7">
      <c r="A75" s="56" t="s">
        <v>178</v>
      </c>
      <c r="B75" s="56">
        <v>2.1219999999999999</v>
      </c>
      <c r="D75" s="46" t="s">
        <v>20</v>
      </c>
      <c r="E75" s="47">
        <v>1.3074866310160425</v>
      </c>
      <c r="F75" s="40">
        <v>5.6444663166680363E-2</v>
      </c>
    </row>
    <row r="76" spans="1:7">
      <c r="A76" s="56" t="s">
        <v>179</v>
      </c>
      <c r="B76" s="56">
        <v>2.0030000000000001</v>
      </c>
      <c r="D76" s="46" t="s">
        <v>21</v>
      </c>
      <c r="E76" s="47">
        <v>0.51213669754072166</v>
      </c>
      <c r="F76" s="40">
        <v>2.7329776191302172E-2</v>
      </c>
    </row>
    <row r="77" spans="1:7">
      <c r="A77" s="56" t="s">
        <v>180</v>
      </c>
      <c r="B77" s="56">
        <v>1.9810000000000001</v>
      </c>
    </row>
    <row r="78" spans="1:7">
      <c r="A78" s="56" t="s">
        <v>181</v>
      </c>
      <c r="B78" s="56">
        <v>1.7330000000000001</v>
      </c>
    </row>
    <row r="79" spans="1:7">
      <c r="A79" s="56" t="s">
        <v>182</v>
      </c>
      <c r="B79" s="56">
        <v>1.72</v>
      </c>
    </row>
    <row r="80" spans="1:7" ht="18.600000000000001">
      <c r="A80" s="56" t="s">
        <v>183</v>
      </c>
      <c r="B80" s="56">
        <v>1.7749999999999999</v>
      </c>
      <c r="D80" s="30" t="s">
        <v>1</v>
      </c>
      <c r="E80" s="31" t="s">
        <v>134</v>
      </c>
      <c r="F80" s="21" t="s">
        <v>61</v>
      </c>
      <c r="G80" s="21" t="s">
        <v>81</v>
      </c>
    </row>
    <row r="81" spans="1:7">
      <c r="A81" s="56" t="s">
        <v>184</v>
      </c>
      <c r="B81" s="56">
        <v>1.64</v>
      </c>
      <c r="D81" s="34" t="s">
        <v>9</v>
      </c>
      <c r="E81" s="47">
        <v>1.5637056248986869</v>
      </c>
      <c r="F81" s="8">
        <v>0.25479248625475714</v>
      </c>
      <c r="G81" s="11">
        <f>E81/F81</f>
        <v>6.1371732262748058</v>
      </c>
    </row>
    <row r="82" spans="1:7">
      <c r="A82" s="56" t="s">
        <v>185</v>
      </c>
      <c r="B82" s="56">
        <v>1.012</v>
      </c>
      <c r="D82" s="34" t="s">
        <v>10</v>
      </c>
      <c r="E82" s="47">
        <v>3.9561200923787516</v>
      </c>
      <c r="F82" s="8">
        <v>0.2665647596489939</v>
      </c>
      <c r="G82" s="11">
        <f t="shared" ref="G82:G93" si="8">E82/F82</f>
        <v>14.841121900689634</v>
      </c>
    </row>
    <row r="83" spans="1:7">
      <c r="A83" s="56" t="s">
        <v>186</v>
      </c>
      <c r="B83" s="56">
        <v>1.0580000000000001</v>
      </c>
      <c r="D83" s="34" t="s">
        <v>11</v>
      </c>
      <c r="E83" s="47">
        <v>4.8380281690140849</v>
      </c>
      <c r="F83" s="8">
        <v>0.24876220922669601</v>
      </c>
      <c r="G83" s="11">
        <f t="shared" si="8"/>
        <v>19.448404900622222</v>
      </c>
    </row>
    <row r="84" spans="1:7">
      <c r="A84" s="56" t="s">
        <v>187</v>
      </c>
      <c r="B84" s="56">
        <v>1.0629999999999999</v>
      </c>
      <c r="D84" s="34" t="s">
        <v>12</v>
      </c>
      <c r="E84" s="47">
        <v>2.0727788279773152</v>
      </c>
      <c r="F84" s="8">
        <v>0.24045908002074934</v>
      </c>
      <c r="G84" s="11">
        <f t="shared" si="8"/>
        <v>8.6200896543330945</v>
      </c>
    </row>
    <row r="85" spans="1:7">
      <c r="A85" s="56" t="s">
        <v>188</v>
      </c>
      <c r="B85" s="56">
        <v>1.0740000000000001</v>
      </c>
      <c r="D85" s="34" t="s">
        <v>13</v>
      </c>
      <c r="E85" s="47">
        <v>4.220338983050846</v>
      </c>
      <c r="F85" s="8">
        <v>0.22939153077564695</v>
      </c>
      <c r="G85" s="11">
        <f t="shared" si="8"/>
        <v>18.397972099408008</v>
      </c>
    </row>
    <row r="86" spans="1:7">
      <c r="D86" s="34" t="s">
        <v>14</v>
      </c>
      <c r="E86" s="47">
        <v>2.7769857433808567</v>
      </c>
      <c r="F86" s="8">
        <v>0.20534708516324557</v>
      </c>
      <c r="G86" s="11">
        <f t="shared" si="8"/>
        <v>13.523375514063058</v>
      </c>
    </row>
    <row r="87" spans="1:7">
      <c r="D87" s="34" t="s">
        <v>15</v>
      </c>
      <c r="E87" s="47">
        <v>0.89695624603677848</v>
      </c>
      <c r="F87" s="8">
        <v>0.19496614247882196</v>
      </c>
      <c r="G87" s="11">
        <f t="shared" si="8"/>
        <v>4.6005744106785595</v>
      </c>
    </row>
    <row r="88" spans="1:7">
      <c r="D88" s="34" t="s">
        <v>16</v>
      </c>
      <c r="E88" s="47">
        <v>1.2486910994764397</v>
      </c>
      <c r="F88" s="8">
        <v>0.16855272679079111</v>
      </c>
      <c r="G88" s="11">
        <f t="shared" si="8"/>
        <v>7.4083114717350398</v>
      </c>
    </row>
    <row r="89" spans="1:7">
      <c r="D89" s="34" t="s">
        <v>17</v>
      </c>
      <c r="E89" s="47">
        <v>0.71648880028145834</v>
      </c>
      <c r="F89" s="8">
        <v>0.15019812620948753</v>
      </c>
      <c r="G89" s="11">
        <f t="shared" si="8"/>
        <v>4.7702912037806771</v>
      </c>
    </row>
    <row r="90" spans="1:7">
      <c r="D90" s="34" t="s">
        <v>18</v>
      </c>
      <c r="E90" s="47">
        <v>2.2777333599840093</v>
      </c>
      <c r="F90" s="16">
        <v>0.22087830294008207</v>
      </c>
      <c r="G90" s="11">
        <f t="shared" si="8"/>
        <v>10.312164344190442</v>
      </c>
    </row>
    <row r="91" spans="1:7">
      <c r="D91" s="34" t="s">
        <v>19</v>
      </c>
      <c r="E91" s="47">
        <v>1.9369885433715222</v>
      </c>
      <c r="F91" s="16">
        <v>0.22210840007450242</v>
      </c>
      <c r="G91" s="11">
        <f t="shared" si="8"/>
        <v>8.7209152950621984</v>
      </c>
    </row>
    <row r="92" spans="1:7">
      <c r="D92" s="34" t="s">
        <v>20</v>
      </c>
      <c r="E92" s="47">
        <v>1.3074866310160425</v>
      </c>
      <c r="F92" s="16">
        <v>0.21865101546487486</v>
      </c>
      <c r="G92" s="11">
        <f t="shared" si="8"/>
        <v>5.9797876000538555</v>
      </c>
    </row>
    <row r="93" spans="1:7">
      <c r="D93" s="34" t="s">
        <v>21</v>
      </c>
      <c r="E93" s="47">
        <v>0.51213669754072166</v>
      </c>
      <c r="F93" s="16">
        <v>0.21080831408776088</v>
      </c>
      <c r="G93" s="11">
        <f t="shared" si="8"/>
        <v>2.429395158141229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8C049-57D3-400F-BA82-F99B3F634550}">
  <dimension ref="A1:E48"/>
  <sheetViews>
    <sheetView topLeftCell="A22" workbookViewId="0">
      <selection activeCell="D36" sqref="D36"/>
    </sheetView>
  </sheetViews>
  <sheetFormatPr defaultRowHeight="14.45"/>
  <cols>
    <col min="1" max="1" width="20.5703125" bestFit="1" customWidth="1"/>
    <col min="2" max="2" width="20.85546875" bestFit="1" customWidth="1"/>
    <col min="3" max="3" width="19.42578125" customWidth="1"/>
    <col min="4" max="4" width="19.28515625" customWidth="1"/>
    <col min="5" max="5" width="41.28515625" bestFit="1" customWidth="1"/>
  </cols>
  <sheetData>
    <row r="1" spans="1:5">
      <c r="A1" s="58" t="s">
        <v>22</v>
      </c>
      <c r="B1" s="58" t="s">
        <v>64</v>
      </c>
      <c r="C1" s="58" t="s">
        <v>189</v>
      </c>
      <c r="D1" s="58" t="s">
        <v>190</v>
      </c>
      <c r="E1" s="58" t="s">
        <v>191</v>
      </c>
    </row>
    <row r="2" spans="1:5">
      <c r="A2" s="16">
        <v>1</v>
      </c>
      <c r="B2" s="8" t="s">
        <v>9</v>
      </c>
      <c r="C2" s="16" t="s">
        <v>192</v>
      </c>
      <c r="D2" s="15">
        <v>0.74497952632482245</v>
      </c>
      <c r="E2" s="8">
        <f>D2/0.02</f>
        <v>37.248976316241119</v>
      </c>
    </row>
    <row r="3" spans="1:5">
      <c r="A3" s="16">
        <v>2</v>
      </c>
      <c r="B3" s="8" t="s">
        <v>10</v>
      </c>
      <c r="C3" s="16" t="s">
        <v>192</v>
      </c>
      <c r="D3" s="15">
        <v>1.2318642993239264</v>
      </c>
      <c r="E3" s="8">
        <f t="shared" ref="E3:E14" si="0">D3/0.02</f>
        <v>61.593214966196321</v>
      </c>
    </row>
    <row r="4" spans="1:5">
      <c r="A4" s="16">
        <v>3</v>
      </c>
      <c r="B4" s="8" t="s">
        <v>11</v>
      </c>
      <c r="C4" s="16" t="s">
        <v>192</v>
      </c>
      <c r="D4" s="15">
        <v>1.4790045902261288</v>
      </c>
      <c r="E4" s="8">
        <f t="shared" si="0"/>
        <v>73.950229511306446</v>
      </c>
    </row>
    <row r="5" spans="1:5">
      <c r="A5" s="16">
        <v>4</v>
      </c>
      <c r="B5" s="8" t="s">
        <v>12</v>
      </c>
      <c r="C5" s="16" t="s">
        <v>192</v>
      </c>
      <c r="D5" s="15">
        <v>2.162756106626698</v>
      </c>
      <c r="E5" s="8">
        <f t="shared" si="0"/>
        <v>108.1378053313349</v>
      </c>
    </row>
    <row r="6" spans="1:5">
      <c r="A6" s="16">
        <v>5</v>
      </c>
      <c r="B6" s="8" t="s">
        <v>13</v>
      </c>
      <c r="C6" s="16" t="s">
        <v>192</v>
      </c>
      <c r="D6" s="15">
        <v>1.3521816386813472</v>
      </c>
      <c r="E6" s="8">
        <f t="shared" si="0"/>
        <v>67.609081934067362</v>
      </c>
    </row>
    <row r="7" spans="1:5">
      <c r="A7" s="16">
        <v>6</v>
      </c>
      <c r="B7" s="8" t="s">
        <v>14</v>
      </c>
      <c r="C7" s="16" t="s">
        <v>192</v>
      </c>
      <c r="D7" s="15">
        <v>0.68839226860987834</v>
      </c>
      <c r="E7" s="8">
        <f t="shared" si="0"/>
        <v>34.419613430493918</v>
      </c>
    </row>
    <row r="8" spans="1:5">
      <c r="A8" s="16">
        <v>7</v>
      </c>
      <c r="B8" s="8" t="s">
        <v>15</v>
      </c>
      <c r="C8" s="16" t="s">
        <v>192</v>
      </c>
      <c r="D8" s="15">
        <v>0.58957591380379537</v>
      </c>
      <c r="E8" s="8">
        <f t="shared" si="0"/>
        <v>29.478795690189767</v>
      </c>
    </row>
    <row r="9" spans="1:5">
      <c r="A9" s="16">
        <v>8</v>
      </c>
      <c r="B9" s="8" t="s">
        <v>16</v>
      </c>
      <c r="C9" s="16" t="s">
        <v>192</v>
      </c>
      <c r="D9" s="15">
        <v>0.40954513282347077</v>
      </c>
      <c r="E9" s="8">
        <f t="shared" si="0"/>
        <v>20.47725664117354</v>
      </c>
    </row>
    <row r="10" spans="1:5">
      <c r="A10" s="16">
        <v>9</v>
      </c>
      <c r="B10" s="8" t="s">
        <v>17</v>
      </c>
      <c r="C10" s="16" t="s">
        <v>192</v>
      </c>
      <c r="D10" s="15">
        <v>0.20143557037961377</v>
      </c>
      <c r="E10" s="8">
        <f t="shared" si="0"/>
        <v>10.071778518980688</v>
      </c>
    </row>
    <row r="11" spans="1:5">
      <c r="A11" s="16">
        <v>10</v>
      </c>
      <c r="B11" s="8" t="s">
        <v>18</v>
      </c>
      <c r="C11" s="16" t="s">
        <v>193</v>
      </c>
      <c r="D11" s="15">
        <v>0.86540599175335353</v>
      </c>
      <c r="E11" s="8">
        <f t="shared" si="0"/>
        <v>43.270299587667672</v>
      </c>
    </row>
    <row r="12" spans="1:5">
      <c r="A12" s="16">
        <v>11</v>
      </c>
      <c r="B12" s="8" t="s">
        <v>19</v>
      </c>
      <c r="C12" s="16" t="s">
        <v>193</v>
      </c>
      <c r="D12" s="15">
        <v>0.75712879365579244</v>
      </c>
      <c r="E12" s="8">
        <f t="shared" si="0"/>
        <v>37.85643968278962</v>
      </c>
    </row>
    <row r="13" spans="1:5">
      <c r="A13" s="16">
        <v>12</v>
      </c>
      <c r="B13" s="8" t="s">
        <v>20</v>
      </c>
      <c r="C13" s="16" t="s">
        <v>193</v>
      </c>
      <c r="D13" s="15">
        <v>0.56686911198430512</v>
      </c>
      <c r="E13" s="8">
        <f t="shared" si="0"/>
        <v>28.343455599215254</v>
      </c>
    </row>
    <row r="14" spans="1:5">
      <c r="A14" s="16">
        <v>13</v>
      </c>
      <c r="B14" s="8" t="s">
        <v>21</v>
      </c>
      <c r="C14" s="16" t="s">
        <v>193</v>
      </c>
      <c r="D14" s="15">
        <v>0.34642501244857116</v>
      </c>
      <c r="E14" s="8">
        <f t="shared" si="0"/>
        <v>17.321250622428558</v>
      </c>
    </row>
    <row r="19" spans="1:3">
      <c r="A19" s="58" t="s">
        <v>64</v>
      </c>
      <c r="B19" s="59" t="s">
        <v>190</v>
      </c>
      <c r="C19" s="58" t="s">
        <v>194</v>
      </c>
    </row>
    <row r="20" spans="1:3">
      <c r="A20" s="8" t="s">
        <v>9</v>
      </c>
      <c r="B20" s="11">
        <v>37.248976316241119</v>
      </c>
      <c r="C20" s="27">
        <v>3.77905538174408E-2</v>
      </c>
    </row>
    <row r="21" spans="1:3">
      <c r="A21" s="8" t="s">
        <v>10</v>
      </c>
      <c r="B21" s="11">
        <v>61.593214966196321</v>
      </c>
      <c r="C21" s="27">
        <v>2.9082301605671986E-2</v>
      </c>
    </row>
    <row r="22" spans="1:3">
      <c r="A22" s="8" t="s">
        <v>11</v>
      </c>
      <c r="B22" s="11">
        <v>73.950229511306446</v>
      </c>
      <c r="C22" s="27">
        <v>0.1076020921658468</v>
      </c>
    </row>
    <row r="23" spans="1:3">
      <c r="A23" s="8" t="s">
        <v>12</v>
      </c>
      <c r="B23" s="11">
        <v>108.1378053313349</v>
      </c>
      <c r="C23" s="27">
        <v>0.1491196422491925</v>
      </c>
    </row>
    <row r="24" spans="1:3">
      <c r="A24" s="8" t="s">
        <v>13</v>
      </c>
      <c r="B24" s="11">
        <v>67.609081934067362</v>
      </c>
      <c r="C24" s="27">
        <v>6.2283127204466812E-2</v>
      </c>
    </row>
    <row r="25" spans="1:3">
      <c r="A25" s="8" t="s">
        <v>14</v>
      </c>
      <c r="B25" s="11">
        <v>34.419613430493918</v>
      </c>
      <c r="C25" s="27">
        <v>1.8717642369532609E-2</v>
      </c>
    </row>
    <row r="26" spans="1:3">
      <c r="A26" s="8" t="s">
        <v>15</v>
      </c>
      <c r="B26" s="11">
        <v>29.478795690189767</v>
      </c>
      <c r="C26" s="27">
        <v>6.0714486824631743E-2</v>
      </c>
    </row>
    <row r="27" spans="1:3">
      <c r="A27" s="8" t="s">
        <v>16</v>
      </c>
      <c r="B27" s="11">
        <v>20.47725664117354</v>
      </c>
      <c r="C27" s="27">
        <v>6.0771953190948491E-3</v>
      </c>
    </row>
    <row r="28" spans="1:3">
      <c r="A28" s="8" t="s">
        <v>17</v>
      </c>
      <c r="B28" s="11">
        <v>10.071778518980688</v>
      </c>
      <c r="C28" s="27">
        <v>1.4196315065456913E-2</v>
      </c>
    </row>
    <row r="29" spans="1:3">
      <c r="A29" s="8" t="s">
        <v>18</v>
      </c>
      <c r="B29" s="11">
        <v>43.270299587667672</v>
      </c>
      <c r="C29" s="27">
        <v>3.6997360835461506E-2</v>
      </c>
    </row>
    <row r="30" spans="1:3">
      <c r="A30" s="8" t="s">
        <v>19</v>
      </c>
      <c r="B30" s="11">
        <v>37.85643968278962</v>
      </c>
      <c r="C30" s="27">
        <v>4.4504130138345609E-2</v>
      </c>
    </row>
    <row r="31" spans="1:3">
      <c r="A31" s="8" t="s">
        <v>20</v>
      </c>
      <c r="B31" s="11">
        <v>28.343455599215254</v>
      </c>
      <c r="C31" s="27">
        <v>4.2334741956648138E-2</v>
      </c>
    </row>
    <row r="32" spans="1:3">
      <c r="A32" s="8" t="s">
        <v>21</v>
      </c>
      <c r="B32" s="11">
        <v>17.321250622428558</v>
      </c>
      <c r="C32" s="27">
        <v>1.8841469876818617E-2</v>
      </c>
    </row>
    <row r="35" spans="1:4" ht="18.600000000000001">
      <c r="A35" s="30" t="s">
        <v>1</v>
      </c>
      <c r="B35" s="59" t="s">
        <v>190</v>
      </c>
      <c r="C35" s="21" t="s">
        <v>61</v>
      </c>
      <c r="D35" s="59" t="s">
        <v>195</v>
      </c>
    </row>
    <row r="36" spans="1:4">
      <c r="A36" s="34" t="s">
        <v>9</v>
      </c>
      <c r="B36" s="11">
        <v>37.248976316241119</v>
      </c>
      <c r="C36" s="8">
        <v>0.25479248625475714</v>
      </c>
      <c r="D36" s="11">
        <f>B36/C36</f>
        <v>146.19338609144583</v>
      </c>
    </row>
    <row r="37" spans="1:4">
      <c r="A37" s="34" t="s">
        <v>10</v>
      </c>
      <c r="B37" s="11">
        <v>61.593214966196321</v>
      </c>
      <c r="C37" s="8">
        <v>0.2665647596489939</v>
      </c>
      <c r="D37" s="11">
        <f t="shared" ref="D37:D48" si="1">B37/C37</f>
        <v>231.06285709821805</v>
      </c>
    </row>
    <row r="38" spans="1:4">
      <c r="A38" s="34" t="s">
        <v>11</v>
      </c>
      <c r="B38" s="11">
        <v>73.950229511306446</v>
      </c>
      <c r="C38" s="8">
        <v>0.24876220922669601</v>
      </c>
      <c r="D38" s="11">
        <f t="shared" si="1"/>
        <v>297.27276398287609</v>
      </c>
    </row>
    <row r="39" spans="1:4">
      <c r="A39" s="34" t="s">
        <v>12</v>
      </c>
      <c r="B39" s="11">
        <v>108.1378053313349</v>
      </c>
      <c r="C39" s="8">
        <v>0.24045908002074934</v>
      </c>
      <c r="D39" s="11">
        <f t="shared" si="1"/>
        <v>449.71396098664121</v>
      </c>
    </row>
    <row r="40" spans="1:4">
      <c r="A40" s="34" t="s">
        <v>13</v>
      </c>
      <c r="B40" s="11">
        <v>67.609081934067362</v>
      </c>
      <c r="C40" s="8">
        <v>0.22939153077564695</v>
      </c>
      <c r="D40" s="11">
        <f t="shared" si="1"/>
        <v>294.73224972804877</v>
      </c>
    </row>
    <row r="41" spans="1:4">
      <c r="A41" s="34" t="s">
        <v>14</v>
      </c>
      <c r="B41" s="11">
        <v>34.419613430493918</v>
      </c>
      <c r="C41" s="8">
        <v>0.20534708516324557</v>
      </c>
      <c r="D41" s="11">
        <f t="shared" si="1"/>
        <v>167.61676165566814</v>
      </c>
    </row>
    <row r="42" spans="1:4">
      <c r="A42" s="34" t="s">
        <v>15</v>
      </c>
      <c r="B42" s="11">
        <v>29.478795690189767</v>
      </c>
      <c r="C42" s="8">
        <v>0.19496614247882196</v>
      </c>
      <c r="D42" s="11">
        <f t="shared" si="1"/>
        <v>151.19956375703478</v>
      </c>
    </row>
    <row r="43" spans="1:4">
      <c r="A43" s="34" t="s">
        <v>16</v>
      </c>
      <c r="B43" s="11">
        <v>20.47725664117354</v>
      </c>
      <c r="C43" s="8">
        <v>0.16855272679079111</v>
      </c>
      <c r="D43" s="11">
        <f t="shared" si="1"/>
        <v>121.48872955695379</v>
      </c>
    </row>
    <row r="44" spans="1:4">
      <c r="A44" s="34" t="s">
        <v>17</v>
      </c>
      <c r="B44" s="11">
        <v>10.071778518980688</v>
      </c>
      <c r="C44" s="8">
        <v>0.15019812620948753</v>
      </c>
      <c r="D44" s="11">
        <f t="shared" si="1"/>
        <v>67.056618968289669</v>
      </c>
    </row>
    <row r="45" spans="1:4">
      <c r="A45" s="34" t="s">
        <v>18</v>
      </c>
      <c r="B45" s="11">
        <v>43.270299587667672</v>
      </c>
      <c r="C45" s="16">
        <v>0.22087830294008207</v>
      </c>
      <c r="D45" s="11">
        <f t="shared" si="1"/>
        <v>195.90108676000494</v>
      </c>
    </row>
    <row r="46" spans="1:4">
      <c r="A46" s="34" t="s">
        <v>19</v>
      </c>
      <c r="B46" s="11">
        <v>37.85643968278962</v>
      </c>
      <c r="C46" s="16">
        <v>0.22210840007450242</v>
      </c>
      <c r="D46" s="11">
        <f t="shared" si="1"/>
        <v>170.44127853827831</v>
      </c>
    </row>
    <row r="47" spans="1:4">
      <c r="A47" s="34" t="s">
        <v>20</v>
      </c>
      <c r="B47" s="11">
        <v>28.343455599215254</v>
      </c>
      <c r="C47" s="16">
        <v>0.21865101546487486</v>
      </c>
      <c r="D47" s="11">
        <f t="shared" si="1"/>
        <v>129.62873983893516</v>
      </c>
    </row>
    <row r="48" spans="1:4">
      <c r="A48" s="34" t="s">
        <v>21</v>
      </c>
      <c r="B48" s="11">
        <v>17.321250622428558</v>
      </c>
      <c r="C48" s="16">
        <v>0.21080831408776088</v>
      </c>
      <c r="D48" s="11">
        <f t="shared" si="1"/>
        <v>82.165879924534707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183C0-68B6-483D-A601-D276A584FBDE}">
  <dimension ref="A1:D51"/>
  <sheetViews>
    <sheetView topLeftCell="A19" workbookViewId="0">
      <selection activeCell="D39" sqref="D39"/>
    </sheetView>
  </sheetViews>
  <sheetFormatPr defaultColWidth="9.140625" defaultRowHeight="12.6"/>
  <cols>
    <col min="1" max="1" width="21.5703125" style="63" bestFit="1" customWidth="1"/>
    <col min="2" max="2" width="19.5703125" style="63" bestFit="1" customWidth="1"/>
    <col min="3" max="3" width="21.85546875" style="63" bestFit="1" customWidth="1"/>
    <col min="4" max="4" width="27" style="63" customWidth="1"/>
    <col min="5" max="16384" width="9.140625" style="63"/>
  </cols>
  <sheetData>
    <row r="1" spans="1:3" ht="14.1">
      <c r="A1" s="60" t="s">
        <v>55</v>
      </c>
      <c r="B1" s="61" t="s">
        <v>196</v>
      </c>
      <c r="C1" s="62"/>
    </row>
    <row r="2" spans="1:3" ht="14.1">
      <c r="A2" s="64">
        <v>1</v>
      </c>
      <c r="B2" s="65">
        <v>212.05910843777269</v>
      </c>
      <c r="C2" s="62"/>
    </row>
    <row r="3" spans="1:3" ht="14.1">
      <c r="A3" s="64">
        <v>2</v>
      </c>
      <c r="B3" s="65">
        <v>1777.47440380889</v>
      </c>
      <c r="C3" s="62"/>
    </row>
    <row r="4" spans="1:3" ht="14.1">
      <c r="A4" s="64">
        <v>3</v>
      </c>
      <c r="B4" s="65">
        <v>2017.8400327173326</v>
      </c>
      <c r="C4" s="62"/>
    </row>
    <row r="5" spans="1:3" ht="14.1">
      <c r="A5" s="64">
        <v>4</v>
      </c>
      <c r="B5" s="65">
        <v>745.39796687991145</v>
      </c>
      <c r="C5" s="62"/>
    </row>
    <row r="6" spans="1:3" ht="14.1">
      <c r="A6" s="64">
        <v>5</v>
      </c>
      <c r="B6" s="65">
        <v>1855.7044715413526</v>
      </c>
      <c r="C6" s="62"/>
    </row>
    <row r="7" spans="1:3" ht="14.1">
      <c r="A7" s="64">
        <v>6</v>
      </c>
      <c r="B7" s="65">
        <v>605.75810148071116</v>
      </c>
      <c r="C7" s="62"/>
    </row>
    <row r="8" spans="1:3" ht="14.1">
      <c r="A8" s="64">
        <v>7</v>
      </c>
      <c r="B8" s="65">
        <v>501.70109072637837</v>
      </c>
      <c r="C8" s="62"/>
    </row>
    <row r="9" spans="1:3" ht="14.1">
      <c r="A9" s="64">
        <v>8</v>
      </c>
      <c r="B9" s="65">
        <v>311.36871774658175</v>
      </c>
      <c r="C9" s="62"/>
    </row>
    <row r="10" spans="1:3" ht="14.1">
      <c r="A10" s="64">
        <v>9</v>
      </c>
      <c r="B10" s="65">
        <v>161.62116985098945</v>
      </c>
      <c r="C10" s="62"/>
    </row>
    <row r="11" spans="1:3" ht="14.1">
      <c r="A11" s="64">
        <v>10</v>
      </c>
      <c r="B11" s="65">
        <v>567.581581501757</v>
      </c>
      <c r="C11" s="62"/>
    </row>
    <row r="12" spans="1:3" ht="14.1">
      <c r="A12" s="64">
        <v>11</v>
      </c>
      <c r="B12" s="65">
        <v>491.98393741678512</v>
      </c>
      <c r="C12" s="62"/>
    </row>
    <row r="13" spans="1:3" ht="14.1">
      <c r="A13" s="64">
        <v>12</v>
      </c>
      <c r="B13" s="65">
        <v>365.75009385471247</v>
      </c>
      <c r="C13" s="62"/>
    </row>
    <row r="14" spans="1:3" ht="14.1">
      <c r="A14" s="64">
        <v>13</v>
      </c>
      <c r="B14" s="65">
        <v>204.34493662004195</v>
      </c>
      <c r="C14" s="62"/>
    </row>
    <row r="15" spans="1:3" ht="14.1">
      <c r="A15" s="66"/>
      <c r="B15" s="66"/>
      <c r="C15" s="62"/>
    </row>
    <row r="16" spans="1:3" ht="14.1">
      <c r="A16" s="66"/>
      <c r="B16" s="66"/>
      <c r="C16" s="62"/>
    </row>
    <row r="17" spans="1:4" ht="14.1">
      <c r="A17" s="66"/>
      <c r="B17" s="66"/>
      <c r="C17" s="62"/>
    </row>
    <row r="18" spans="1:4" ht="14.1">
      <c r="A18" s="66"/>
      <c r="B18" s="66"/>
      <c r="C18" s="62"/>
    </row>
    <row r="19" spans="1:4" ht="14.1">
      <c r="A19" s="60" t="s">
        <v>55</v>
      </c>
      <c r="B19" s="60" t="s">
        <v>197</v>
      </c>
      <c r="C19" s="67" t="s">
        <v>57</v>
      </c>
    </row>
    <row r="20" spans="1:4" ht="14.1">
      <c r="A20" s="64" t="s">
        <v>9</v>
      </c>
      <c r="B20" s="64">
        <v>212.05910843777269</v>
      </c>
      <c r="C20" s="68"/>
    </row>
    <row r="21" spans="1:4" ht="14.1">
      <c r="A21" s="64" t="s">
        <v>10</v>
      </c>
      <c r="B21" s="64">
        <v>1777.47440380889</v>
      </c>
      <c r="C21" s="68"/>
    </row>
    <row r="22" spans="1:4" ht="14.1">
      <c r="A22" s="64" t="s">
        <v>11</v>
      </c>
      <c r="B22" s="64">
        <v>2017.8400327173326</v>
      </c>
      <c r="C22" s="68"/>
    </row>
    <row r="23" spans="1:4" ht="14.1">
      <c r="A23" s="64" t="s">
        <v>12</v>
      </c>
      <c r="B23" s="64">
        <v>745.39796687991145</v>
      </c>
      <c r="C23" s="68"/>
    </row>
    <row r="24" spans="1:4" ht="14.1">
      <c r="A24" s="64" t="s">
        <v>198</v>
      </c>
      <c r="B24" s="64">
        <v>1855.7044715413526</v>
      </c>
      <c r="C24" s="68"/>
    </row>
    <row r="25" spans="1:4" ht="14.1">
      <c r="A25" s="64" t="s">
        <v>14</v>
      </c>
      <c r="B25" s="64">
        <v>605.75810148071116</v>
      </c>
      <c r="C25" s="68"/>
    </row>
    <row r="26" spans="1:4" ht="14.1">
      <c r="A26" s="64" t="s">
        <v>15</v>
      </c>
      <c r="B26" s="64">
        <v>501.70109072637837</v>
      </c>
      <c r="C26" s="68"/>
    </row>
    <row r="27" spans="1:4" ht="14.1">
      <c r="A27" s="64" t="s">
        <v>16</v>
      </c>
      <c r="B27" s="64">
        <v>311.36871774658175</v>
      </c>
      <c r="C27" s="68"/>
    </row>
    <row r="28" spans="1:4" ht="14.1">
      <c r="A28" s="64" t="s">
        <v>17</v>
      </c>
      <c r="B28" s="64">
        <v>161.62116985098945</v>
      </c>
      <c r="C28" s="68"/>
    </row>
    <row r="29" spans="1:4" ht="14.1">
      <c r="A29" s="64" t="s">
        <v>18</v>
      </c>
      <c r="B29" s="64">
        <v>567.581581501757</v>
      </c>
      <c r="C29" s="69">
        <f>B25-B29</f>
        <v>38.176519978954161</v>
      </c>
      <c r="D29" s="70" t="s">
        <v>60</v>
      </c>
    </row>
    <row r="30" spans="1:4" ht="14.1">
      <c r="A30" s="64" t="s">
        <v>19</v>
      </c>
      <c r="B30" s="64">
        <v>491.98393741678512</v>
      </c>
      <c r="C30" s="69">
        <f t="shared" ref="C30:C32" si="0">B26-B30</f>
        <v>9.7171533095932432</v>
      </c>
      <c r="D30" s="70" t="s">
        <v>60</v>
      </c>
    </row>
    <row r="31" spans="1:4" ht="14.1">
      <c r="A31" s="64" t="s">
        <v>20</v>
      </c>
      <c r="B31" s="64">
        <v>365.75009385471247</v>
      </c>
      <c r="C31" s="69">
        <f t="shared" si="0"/>
        <v>-54.381376108130723</v>
      </c>
      <c r="D31" s="70" t="s">
        <v>59</v>
      </c>
    </row>
    <row r="32" spans="1:4" ht="14.1">
      <c r="A32" s="64" t="s">
        <v>21</v>
      </c>
      <c r="B32" s="64">
        <v>204.34493662004195</v>
      </c>
      <c r="C32" s="69">
        <f t="shared" si="0"/>
        <v>-42.723766769052503</v>
      </c>
      <c r="D32" s="70" t="s">
        <v>59</v>
      </c>
    </row>
    <row r="38" spans="1:4" ht="18.600000000000001">
      <c r="A38" s="71" t="s">
        <v>1</v>
      </c>
      <c r="B38" s="60" t="s">
        <v>199</v>
      </c>
      <c r="C38" s="60" t="s">
        <v>61</v>
      </c>
      <c r="D38" s="60" t="s">
        <v>200</v>
      </c>
    </row>
    <row r="39" spans="1:4" ht="14.1">
      <c r="A39" s="72" t="s">
        <v>9</v>
      </c>
      <c r="B39" s="64">
        <v>212.05910843777269</v>
      </c>
      <c r="C39" s="73">
        <v>0.25479248625475714</v>
      </c>
      <c r="D39" s="74">
        <f>B39/C39</f>
        <v>832.28164046306688</v>
      </c>
    </row>
    <row r="40" spans="1:4" ht="14.1">
      <c r="A40" s="72" t="s">
        <v>10</v>
      </c>
      <c r="B40" s="64">
        <v>1777.47440380889</v>
      </c>
      <c r="C40" s="73">
        <v>0.2665647596489939</v>
      </c>
      <c r="D40" s="74">
        <f t="shared" ref="D40:D51" si="1">B40/C40</f>
        <v>6668.0772287733225</v>
      </c>
    </row>
    <row r="41" spans="1:4" ht="14.1">
      <c r="A41" s="72" t="s">
        <v>11</v>
      </c>
      <c r="B41" s="64">
        <v>2017.8400327173326</v>
      </c>
      <c r="C41" s="73">
        <v>0.24876220922669601</v>
      </c>
      <c r="D41" s="74">
        <f t="shared" si="1"/>
        <v>8111.5215972313672</v>
      </c>
    </row>
    <row r="42" spans="1:4" ht="14.1">
      <c r="A42" s="72" t="s">
        <v>12</v>
      </c>
      <c r="B42" s="64">
        <v>745.39796687991145</v>
      </c>
      <c r="C42" s="73">
        <v>0.24045908002074934</v>
      </c>
      <c r="D42" s="74">
        <f t="shared" si="1"/>
        <v>3099.8952787126636</v>
      </c>
    </row>
    <row r="43" spans="1:4" ht="14.1">
      <c r="A43" s="72" t="s">
        <v>13</v>
      </c>
      <c r="B43" s="64">
        <v>1855.7044715413526</v>
      </c>
      <c r="C43" s="73">
        <v>0.22939153077564695</v>
      </c>
      <c r="D43" s="74">
        <f t="shared" si="1"/>
        <v>8089.6817126012265</v>
      </c>
    </row>
    <row r="44" spans="1:4" ht="14.1">
      <c r="A44" s="72" t="s">
        <v>14</v>
      </c>
      <c r="B44" s="64">
        <v>605.75810148071116</v>
      </c>
      <c r="C44" s="73">
        <v>0.20534708516324557</v>
      </c>
      <c r="D44" s="74">
        <f t="shared" si="1"/>
        <v>2949.9230583144108</v>
      </c>
    </row>
    <row r="45" spans="1:4" ht="14.1">
      <c r="A45" s="72" t="s">
        <v>15</v>
      </c>
      <c r="B45" s="64">
        <v>501.70109072637837</v>
      </c>
      <c r="C45" s="73">
        <v>0.19496614247882196</v>
      </c>
      <c r="D45" s="74">
        <f t="shared" si="1"/>
        <v>2573.2728993234055</v>
      </c>
    </row>
    <row r="46" spans="1:4" ht="14.1">
      <c r="A46" s="72" t="s">
        <v>16</v>
      </c>
      <c r="B46" s="64">
        <v>311.36871774658175</v>
      </c>
      <c r="C46" s="73">
        <v>0.16855272679079111</v>
      </c>
      <c r="D46" s="74">
        <f t="shared" si="1"/>
        <v>1847.3075083089868</v>
      </c>
    </row>
    <row r="47" spans="1:4" ht="14.1">
      <c r="A47" s="72" t="s">
        <v>17</v>
      </c>
      <c r="B47" s="64">
        <v>161.62116985098945</v>
      </c>
      <c r="C47" s="73">
        <v>0.15019812620948753</v>
      </c>
      <c r="D47" s="74">
        <f t="shared" si="1"/>
        <v>1076.0531701012683</v>
      </c>
    </row>
    <row r="48" spans="1:4" ht="14.1">
      <c r="A48" s="72" t="s">
        <v>18</v>
      </c>
      <c r="B48" s="64">
        <v>567.581581501757</v>
      </c>
      <c r="C48" s="75">
        <v>0.22087830294008207</v>
      </c>
      <c r="D48" s="74">
        <f t="shared" si="1"/>
        <v>2569.6574717695362</v>
      </c>
    </row>
    <row r="49" spans="1:4" ht="14.1">
      <c r="A49" s="72" t="s">
        <v>19</v>
      </c>
      <c r="B49" s="64">
        <v>491.98393741678512</v>
      </c>
      <c r="C49" s="75">
        <v>0.22210840007450242</v>
      </c>
      <c r="D49" s="74">
        <f t="shared" si="1"/>
        <v>2215.0622725288986</v>
      </c>
    </row>
    <row r="50" spans="1:4" ht="14.1">
      <c r="A50" s="72" t="s">
        <v>20</v>
      </c>
      <c r="B50" s="64">
        <v>365.75009385471247</v>
      </c>
      <c r="C50" s="75">
        <v>0.21865101546487486</v>
      </c>
      <c r="D50" s="74">
        <f t="shared" si="1"/>
        <v>1672.7573529767956</v>
      </c>
    </row>
    <row r="51" spans="1:4" ht="14.1">
      <c r="A51" s="72" t="s">
        <v>21</v>
      </c>
      <c r="B51" s="64">
        <v>204.34493662004195</v>
      </c>
      <c r="C51" s="75">
        <v>0.21080831408776088</v>
      </c>
      <c r="D51" s="74">
        <f t="shared" si="1"/>
        <v>969.34002581592597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AD935-7DC2-441C-8D19-336214799D6D}">
  <dimension ref="A1:E68"/>
  <sheetViews>
    <sheetView topLeftCell="A46" workbookViewId="0">
      <selection activeCell="A56" activeCellId="1" sqref="D56:D68 A56:A68"/>
    </sheetView>
  </sheetViews>
  <sheetFormatPr defaultColWidth="9.140625" defaultRowHeight="15.6"/>
  <cols>
    <col min="1" max="1" width="24.5703125" style="78" bestFit="1" customWidth="1"/>
    <col min="2" max="4" width="31" style="78" bestFit="1" customWidth="1"/>
    <col min="5" max="5" width="24.85546875" style="78" bestFit="1" customWidth="1"/>
    <col min="6" max="16384" width="9.140625" style="78"/>
  </cols>
  <sheetData>
    <row r="1" spans="1:4">
      <c r="A1" s="76" t="s">
        <v>1</v>
      </c>
      <c r="B1" s="76" t="s">
        <v>201</v>
      </c>
      <c r="C1" s="77" t="s">
        <v>202</v>
      </c>
      <c r="D1" s="77" t="s">
        <v>203</v>
      </c>
    </row>
    <row r="2" spans="1:4">
      <c r="A2" s="79" t="s">
        <v>71</v>
      </c>
      <c r="B2" s="80">
        <v>21.00980753</v>
      </c>
      <c r="C2" s="81">
        <f>AVERAGE(B2:B3)</f>
        <v>20.86263091</v>
      </c>
      <c r="D2" s="81">
        <f>_xlfn.STDEV.S(B2:B3)</f>
        <v>0.20813917206823096</v>
      </c>
    </row>
    <row r="3" spans="1:4">
      <c r="A3" s="79" t="s">
        <v>71</v>
      </c>
      <c r="B3" s="80">
        <v>20.71545429</v>
      </c>
      <c r="C3" s="82"/>
      <c r="D3" s="82"/>
    </row>
    <row r="4" spans="1:4">
      <c r="A4" s="79" t="s">
        <v>204</v>
      </c>
      <c r="B4" s="80">
        <v>18.71587886</v>
      </c>
      <c r="C4" s="81">
        <f>AVERAGE(B4:B5)</f>
        <v>18.117973395</v>
      </c>
      <c r="D4" s="81">
        <f>_xlfn.STDEV.S(B4:B5)</f>
        <v>0.84556601761999217</v>
      </c>
    </row>
    <row r="5" spans="1:4">
      <c r="A5" s="79" t="s">
        <v>204</v>
      </c>
      <c r="B5" s="80">
        <v>17.52006793</v>
      </c>
      <c r="C5" s="82"/>
      <c r="D5" s="82"/>
    </row>
    <row r="6" spans="1:4">
      <c r="A6" s="79" t="s">
        <v>205</v>
      </c>
      <c r="B6" s="80">
        <v>22.378714970000001</v>
      </c>
      <c r="C6" s="81">
        <f>AVERAGE(B6:B7)</f>
        <v>21.594119724999999</v>
      </c>
      <c r="D6" s="81">
        <f>_xlfn.STDEV.S(B6:B7)</f>
        <v>1.1095852364524417</v>
      </c>
    </row>
    <row r="7" spans="1:4">
      <c r="A7" s="79" t="s">
        <v>205</v>
      </c>
      <c r="B7" s="80">
        <v>20.80952448</v>
      </c>
      <c r="C7" s="82"/>
      <c r="D7" s="82"/>
    </row>
    <row r="8" spans="1:4">
      <c r="A8" s="79" t="s">
        <v>206</v>
      </c>
      <c r="B8" s="80">
        <v>20.13673932</v>
      </c>
      <c r="C8" s="81">
        <f>AVERAGE(B8:B9)</f>
        <v>20.135394850000001</v>
      </c>
      <c r="D8" s="81">
        <f>_xlfn.STDEV.S(B8:B9)</f>
        <v>1.9013677082028726E-3</v>
      </c>
    </row>
    <row r="9" spans="1:4">
      <c r="A9" s="79" t="s">
        <v>206</v>
      </c>
      <c r="B9" s="80">
        <v>20.134050380000001</v>
      </c>
      <c r="C9" s="82"/>
      <c r="D9" s="82"/>
    </row>
    <row r="10" spans="1:4">
      <c r="A10" s="79" t="s">
        <v>73</v>
      </c>
      <c r="B10" s="80">
        <v>20.78767337</v>
      </c>
      <c r="C10" s="81">
        <f>AVERAGE(B10:B11)</f>
        <v>19.579132469999998</v>
      </c>
      <c r="D10" s="81">
        <f>_xlfn.STDEV.S(B10:B11)</f>
        <v>1.7091349314625877</v>
      </c>
    </row>
    <row r="11" spans="1:4">
      <c r="A11" s="79" t="s">
        <v>73</v>
      </c>
      <c r="B11" s="80">
        <v>18.370591569999998</v>
      </c>
      <c r="C11" s="82"/>
      <c r="D11" s="82"/>
    </row>
    <row r="12" spans="1:4">
      <c r="A12" s="79" t="s">
        <v>74</v>
      </c>
      <c r="B12" s="80">
        <v>24.796532689999999</v>
      </c>
      <c r="C12" s="81">
        <f>AVERAGE(B12:B13)</f>
        <v>23.607175204999997</v>
      </c>
      <c r="D12" s="81">
        <f>_xlfn.STDEV.S(B12:B13)</f>
        <v>1.6820054857969555</v>
      </c>
    </row>
    <row r="13" spans="1:4">
      <c r="A13" s="79" t="s">
        <v>74</v>
      </c>
      <c r="B13" s="80">
        <v>22.417817719999999</v>
      </c>
      <c r="C13" s="82"/>
      <c r="D13" s="82"/>
    </row>
    <row r="14" spans="1:4">
      <c r="A14" s="79" t="s">
        <v>75</v>
      </c>
      <c r="B14" s="80">
        <v>28.233243699999999</v>
      </c>
      <c r="C14" s="81">
        <f>AVERAGE(B14:B15)</f>
        <v>28.024292384999999</v>
      </c>
      <c r="D14" s="81">
        <f>_xlfn.STDEV.S(B14:B15)</f>
        <v>0.295501783548693</v>
      </c>
    </row>
    <row r="15" spans="1:4">
      <c r="A15" s="79" t="s">
        <v>75</v>
      </c>
      <c r="B15" s="80">
        <v>27.815341069999999</v>
      </c>
      <c r="C15" s="82"/>
      <c r="D15" s="82"/>
    </row>
    <row r="16" spans="1:4">
      <c r="A16" s="79" t="s">
        <v>76</v>
      </c>
      <c r="B16" s="80">
        <v>32.086343050000004</v>
      </c>
      <c r="C16" s="81">
        <f>AVERAGE(B16:B17)</f>
        <v>27.822042175</v>
      </c>
      <c r="D16" s="81">
        <f>_xlfn.STDEV.S(B16:B17)</f>
        <v>6.0306321314644693</v>
      </c>
    </row>
    <row r="17" spans="1:4">
      <c r="A17" s="79" t="s">
        <v>76</v>
      </c>
      <c r="B17" s="80">
        <v>23.5577413</v>
      </c>
      <c r="C17" s="82"/>
      <c r="D17" s="82"/>
    </row>
    <row r="18" spans="1:4">
      <c r="A18" s="79" t="s">
        <v>77</v>
      </c>
      <c r="B18" s="80">
        <v>35.77594113</v>
      </c>
      <c r="C18" s="81">
        <f>AVERAGE(B18:B19)</f>
        <v>35.768433344999998</v>
      </c>
      <c r="D18" s="81">
        <f>_xlfn.STDEV.S(B18:B19)</f>
        <v>1.0617611370383234E-2</v>
      </c>
    </row>
    <row r="19" spans="1:4">
      <c r="A19" s="79" t="s">
        <v>77</v>
      </c>
      <c r="B19" s="80">
        <v>35.760925559999997</v>
      </c>
      <c r="C19" s="82"/>
      <c r="D19" s="82"/>
    </row>
    <row r="20" spans="1:4">
      <c r="A20" s="79" t="s">
        <v>74</v>
      </c>
      <c r="B20" s="80">
        <v>26.472247379999999</v>
      </c>
      <c r="C20" s="81">
        <f>AVERAGE(B20:B21)</f>
        <v>27.277398810000001</v>
      </c>
      <c r="D20" s="81">
        <f>_xlfn.STDEV.S(B20:B21)</f>
        <v>1.1386560720700922</v>
      </c>
    </row>
    <row r="21" spans="1:4">
      <c r="A21" s="79" t="s">
        <v>74</v>
      </c>
      <c r="B21" s="80">
        <v>28.08255024</v>
      </c>
      <c r="C21" s="82"/>
      <c r="D21" s="82"/>
    </row>
    <row r="22" spans="1:4">
      <c r="A22" s="79" t="s">
        <v>75</v>
      </c>
      <c r="B22" s="80">
        <v>34.399182590000002</v>
      </c>
      <c r="C22" s="81">
        <f>AVERAGE(B22:B23)</f>
        <v>33.298464460000005</v>
      </c>
      <c r="D22" s="81">
        <f>_xlfn.STDEV.S(B22:B23)</f>
        <v>1.5566505077959523</v>
      </c>
    </row>
    <row r="23" spans="1:4">
      <c r="A23" s="79" t="s">
        <v>75</v>
      </c>
      <c r="B23" s="80">
        <v>32.197746330000001</v>
      </c>
      <c r="C23" s="82"/>
      <c r="D23" s="82"/>
    </row>
    <row r="24" spans="1:4">
      <c r="A24" s="79" t="s">
        <v>76</v>
      </c>
      <c r="B24" s="80">
        <v>40.341390130000001</v>
      </c>
      <c r="C24" s="81">
        <f>AVERAGE(B24:B25)</f>
        <v>38.545800370000002</v>
      </c>
      <c r="D24" s="81">
        <f>_xlfn.STDEV.S(B24:B25)</f>
        <v>2.5393473910502489</v>
      </c>
    </row>
    <row r="25" spans="1:4">
      <c r="A25" s="79" t="s">
        <v>76</v>
      </c>
      <c r="B25" s="80">
        <v>36.750210610000003</v>
      </c>
      <c r="C25" s="82"/>
      <c r="D25" s="82"/>
    </row>
    <row r="26" spans="1:4">
      <c r="A26" s="79" t="s">
        <v>77</v>
      </c>
      <c r="B26" s="80">
        <v>53.205538390000001</v>
      </c>
      <c r="C26" s="81">
        <f>AVERAGE(B26:B27)</f>
        <v>49.414037074999996</v>
      </c>
      <c r="D26" s="81">
        <f>_xlfn.STDEV.S(B26:B27)</f>
        <v>5.3619925814284262</v>
      </c>
    </row>
    <row r="27" spans="1:4">
      <c r="A27" s="79" t="s">
        <v>77</v>
      </c>
      <c r="B27" s="80">
        <v>45.622535759999998</v>
      </c>
      <c r="C27" s="82"/>
      <c r="D27" s="82"/>
    </row>
    <row r="30" spans="1:4">
      <c r="A30" s="76" t="s">
        <v>1</v>
      </c>
      <c r="B30" s="77" t="s">
        <v>202</v>
      </c>
      <c r="C30" s="77" t="s">
        <v>203</v>
      </c>
    </row>
    <row r="31" spans="1:4">
      <c r="A31" s="79" t="s">
        <v>9</v>
      </c>
      <c r="B31" s="81">
        <v>20.86263091</v>
      </c>
      <c r="C31" s="81">
        <v>0.20813917206823096</v>
      </c>
    </row>
    <row r="32" spans="1:4">
      <c r="A32" s="79" t="s">
        <v>10</v>
      </c>
      <c r="B32" s="81">
        <v>18.117973395</v>
      </c>
      <c r="C32" s="81">
        <v>0.84556601761999217</v>
      </c>
    </row>
    <row r="33" spans="1:3">
      <c r="A33" s="79" t="s">
        <v>11</v>
      </c>
      <c r="B33" s="81">
        <v>21.594119724999999</v>
      </c>
      <c r="C33" s="81">
        <v>1.1095852364524417</v>
      </c>
    </row>
    <row r="34" spans="1:3">
      <c r="A34" s="79" t="s">
        <v>12</v>
      </c>
      <c r="B34" s="81">
        <v>20.135394850000001</v>
      </c>
      <c r="C34" s="81">
        <v>1.9013677082028726E-3</v>
      </c>
    </row>
    <row r="35" spans="1:3">
      <c r="A35" s="79" t="s">
        <v>13</v>
      </c>
      <c r="B35" s="81">
        <v>19.579132469999998</v>
      </c>
      <c r="C35" s="81">
        <v>1.7091349314625877</v>
      </c>
    </row>
    <row r="36" spans="1:3">
      <c r="A36" s="79" t="s">
        <v>14</v>
      </c>
      <c r="B36" s="81">
        <v>23.607175204999997</v>
      </c>
      <c r="C36" s="81">
        <v>1.6820054857969555</v>
      </c>
    </row>
    <row r="37" spans="1:3">
      <c r="A37" s="79" t="s">
        <v>15</v>
      </c>
      <c r="B37" s="81">
        <v>28.024292384999999</v>
      </c>
      <c r="C37" s="81">
        <v>0.295501783548693</v>
      </c>
    </row>
    <row r="38" spans="1:3">
      <c r="A38" s="79" t="s">
        <v>16</v>
      </c>
      <c r="B38" s="81">
        <v>27.822042175</v>
      </c>
      <c r="C38" s="81">
        <v>6.0306321314644693</v>
      </c>
    </row>
    <row r="39" spans="1:3">
      <c r="A39" s="79" t="s">
        <v>17</v>
      </c>
      <c r="B39" s="81">
        <v>35.768433344999998</v>
      </c>
      <c r="C39" s="81">
        <v>1.0617611370383234E-2</v>
      </c>
    </row>
    <row r="40" spans="1:3">
      <c r="A40" s="79" t="s">
        <v>18</v>
      </c>
      <c r="B40" s="81">
        <v>27.277398810000001</v>
      </c>
      <c r="C40" s="81">
        <v>1.1386560720700922</v>
      </c>
    </row>
    <row r="41" spans="1:3">
      <c r="A41" s="79" t="s">
        <v>19</v>
      </c>
      <c r="B41" s="81">
        <v>33.298464460000005</v>
      </c>
      <c r="C41" s="81">
        <v>1.5566505077959523</v>
      </c>
    </row>
    <row r="42" spans="1:3">
      <c r="A42" s="79" t="s">
        <v>20</v>
      </c>
      <c r="B42" s="81">
        <v>38.545800370000002</v>
      </c>
      <c r="C42" s="81">
        <v>2.5393473910502489</v>
      </c>
    </row>
    <row r="43" spans="1:3">
      <c r="A43" s="79" t="s">
        <v>21</v>
      </c>
      <c r="B43" s="81">
        <v>49.414037074999996</v>
      </c>
      <c r="C43" s="81">
        <v>5.3619925814284262</v>
      </c>
    </row>
    <row r="44" spans="1:3">
      <c r="C44" s="83"/>
    </row>
    <row r="55" spans="1:5" ht="18.600000000000001">
      <c r="A55" s="84" t="s">
        <v>1</v>
      </c>
      <c r="B55" s="77" t="s">
        <v>202</v>
      </c>
      <c r="C55" s="85" t="s">
        <v>61</v>
      </c>
      <c r="D55" s="77" t="s">
        <v>207</v>
      </c>
      <c r="E55" s="77" t="s">
        <v>203</v>
      </c>
    </row>
    <row r="56" spans="1:5">
      <c r="A56" s="86" t="s">
        <v>9</v>
      </c>
      <c r="B56" s="81">
        <v>20.86263091</v>
      </c>
      <c r="C56" s="87">
        <v>0.25479248625475714</v>
      </c>
      <c r="D56" s="88">
        <f>B56/C56</f>
        <v>81.880871828929301</v>
      </c>
      <c r="E56" s="81">
        <v>0.20813917206823096</v>
      </c>
    </row>
    <row r="57" spans="1:5">
      <c r="A57" s="86" t="s">
        <v>10</v>
      </c>
      <c r="B57" s="81">
        <v>18.117973395</v>
      </c>
      <c r="C57" s="87">
        <v>0.2665647596489939</v>
      </c>
      <c r="D57" s="88">
        <f t="shared" ref="D57:D68" si="0">B57/C57</f>
        <v>67.968374435005259</v>
      </c>
      <c r="E57" s="81">
        <v>0.84556601761999217</v>
      </c>
    </row>
    <row r="58" spans="1:5">
      <c r="A58" s="86" t="s">
        <v>11</v>
      </c>
      <c r="B58" s="81">
        <v>21.594119724999999</v>
      </c>
      <c r="C58" s="87">
        <v>0.24876220922669601</v>
      </c>
      <c r="D58" s="88">
        <f t="shared" si="0"/>
        <v>86.806270904763366</v>
      </c>
      <c r="E58" s="81">
        <v>1.1095852364524417</v>
      </c>
    </row>
    <row r="59" spans="1:5">
      <c r="A59" s="86" t="s">
        <v>12</v>
      </c>
      <c r="B59" s="81">
        <v>20.135394850000001</v>
      </c>
      <c r="C59" s="87">
        <v>0.24045908002074934</v>
      </c>
      <c r="D59" s="88">
        <f t="shared" si="0"/>
        <v>83.737303029947995</v>
      </c>
      <c r="E59" s="81">
        <v>1.9013677082028726E-3</v>
      </c>
    </row>
    <row r="60" spans="1:5">
      <c r="A60" s="86" t="s">
        <v>13</v>
      </c>
      <c r="B60" s="81">
        <v>19.579132469999998</v>
      </c>
      <c r="C60" s="87">
        <v>0.22939153077564695</v>
      </c>
      <c r="D60" s="88">
        <f t="shared" si="0"/>
        <v>85.35246442532825</v>
      </c>
      <c r="E60" s="81">
        <v>1.7091349314625877</v>
      </c>
    </row>
    <row r="61" spans="1:5">
      <c r="A61" s="86" t="s">
        <v>14</v>
      </c>
      <c r="B61" s="81">
        <v>23.607175204999997</v>
      </c>
      <c r="C61" s="87">
        <v>0.20534708516324557</v>
      </c>
      <c r="D61" s="88">
        <f t="shared" si="0"/>
        <v>114.96230972177136</v>
      </c>
      <c r="E61" s="81">
        <v>1.6820054857969555</v>
      </c>
    </row>
    <row r="62" spans="1:5">
      <c r="A62" s="86" t="s">
        <v>15</v>
      </c>
      <c r="B62" s="81">
        <v>28.024292384999999</v>
      </c>
      <c r="C62" s="87">
        <v>0.19496614247882196</v>
      </c>
      <c r="D62" s="88">
        <f t="shared" si="0"/>
        <v>143.73927713138252</v>
      </c>
      <c r="E62" s="81">
        <v>0.295501783548693</v>
      </c>
    </row>
    <row r="63" spans="1:5">
      <c r="A63" s="86" t="s">
        <v>16</v>
      </c>
      <c r="B63" s="81">
        <v>27.822042175</v>
      </c>
      <c r="C63" s="87">
        <v>0.16855272679079111</v>
      </c>
      <c r="D63" s="88">
        <f t="shared" si="0"/>
        <v>165.06432559547329</v>
      </c>
      <c r="E63" s="81">
        <v>6.0306321314644693</v>
      </c>
    </row>
    <row r="64" spans="1:5">
      <c r="A64" s="86" t="s">
        <v>17</v>
      </c>
      <c r="B64" s="81">
        <v>35.768433344999998</v>
      </c>
      <c r="C64" s="87">
        <v>0.15019812620948753</v>
      </c>
      <c r="D64" s="88">
        <f t="shared" si="0"/>
        <v>238.14167491751721</v>
      </c>
      <c r="E64" s="81">
        <v>1.0617611370383234E-2</v>
      </c>
    </row>
    <row r="65" spans="1:5">
      <c r="A65" s="86" t="s">
        <v>18</v>
      </c>
      <c r="B65" s="81">
        <v>27.277398810000001</v>
      </c>
      <c r="C65" s="79">
        <v>0.22087830294008207</v>
      </c>
      <c r="D65" s="88">
        <f t="shared" si="0"/>
        <v>123.49514844561068</v>
      </c>
      <c r="E65" s="81">
        <v>1.1386560720700922</v>
      </c>
    </row>
    <row r="66" spans="1:5">
      <c r="A66" s="86" t="s">
        <v>19</v>
      </c>
      <c r="B66" s="81">
        <v>33.298464460000005</v>
      </c>
      <c r="C66" s="79">
        <v>0.22210840007450242</v>
      </c>
      <c r="D66" s="88">
        <f t="shared" si="0"/>
        <v>149.91987898175222</v>
      </c>
      <c r="E66" s="81">
        <v>1.5566505077959523</v>
      </c>
    </row>
    <row r="67" spans="1:5">
      <c r="A67" s="86" t="s">
        <v>20</v>
      </c>
      <c r="B67" s="81">
        <v>38.545800370000002</v>
      </c>
      <c r="C67" s="79">
        <v>0.21865101546487486</v>
      </c>
      <c r="D67" s="88">
        <f t="shared" si="0"/>
        <v>176.28914408674302</v>
      </c>
      <c r="E67" s="81">
        <v>2.5393473910502489</v>
      </c>
    </row>
    <row r="68" spans="1:5">
      <c r="A68" s="86" t="s">
        <v>21</v>
      </c>
      <c r="B68" s="81">
        <v>49.414037074999996</v>
      </c>
      <c r="C68" s="79">
        <v>0.21080831408776088</v>
      </c>
      <c r="D68" s="88">
        <f t="shared" si="0"/>
        <v>234.4026955902157</v>
      </c>
      <c r="E68" s="81">
        <v>5.3619925814284262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254F-79D9-41C3-9970-6002A132B91C}">
  <dimension ref="A1:W125"/>
  <sheetViews>
    <sheetView topLeftCell="A85" zoomScale="80" zoomScaleNormal="80" workbookViewId="0">
      <selection activeCell="D96" sqref="D96"/>
    </sheetView>
  </sheetViews>
  <sheetFormatPr defaultColWidth="11.140625" defaultRowHeight="15.6"/>
  <cols>
    <col min="1" max="1" width="23.140625" style="83" bestFit="1" customWidth="1"/>
    <col min="2" max="2" width="22.85546875" style="83" customWidth="1"/>
    <col min="3" max="3" width="29.140625" style="83" customWidth="1"/>
    <col min="4" max="4" width="27.5703125" style="83" customWidth="1"/>
    <col min="5" max="5" width="26.5703125" style="83" customWidth="1"/>
    <col min="6" max="6" width="25" style="83" customWidth="1"/>
    <col min="7" max="7" width="26.28515625" style="83" customWidth="1"/>
    <col min="8" max="9" width="28.7109375" style="83" bestFit="1" customWidth="1"/>
    <col min="10" max="10" width="28.5703125" style="83" bestFit="1" customWidth="1"/>
    <col min="11" max="11" width="22.5703125" style="83" bestFit="1" customWidth="1"/>
    <col min="12" max="12" width="22.85546875" style="83" bestFit="1" customWidth="1"/>
    <col min="13" max="13" width="15.140625" style="83" bestFit="1" customWidth="1"/>
    <col min="14" max="14" width="25.85546875" style="83" customWidth="1"/>
    <col min="15" max="15" width="19.42578125" style="83" bestFit="1" customWidth="1"/>
    <col min="16" max="16" width="21.140625" style="83" bestFit="1" customWidth="1"/>
    <col min="17" max="17" width="28.7109375" style="83" bestFit="1" customWidth="1"/>
    <col min="18" max="18" width="21" style="83" bestFit="1" customWidth="1"/>
    <col min="19" max="19" width="28.5703125" style="83" bestFit="1" customWidth="1"/>
    <col min="20" max="20" width="15.140625" style="83" bestFit="1" customWidth="1"/>
    <col min="21" max="21" width="22.5703125" style="83" bestFit="1" customWidth="1"/>
    <col min="22" max="22" width="15.42578125" style="83" bestFit="1" customWidth="1"/>
    <col min="23" max="23" width="22.85546875" style="83" bestFit="1" customWidth="1"/>
    <col min="24" max="16384" width="11.140625" style="83"/>
  </cols>
  <sheetData>
    <row r="1" spans="1:23" s="90" customFormat="1" ht="14.45">
      <c r="A1" s="89" t="s">
        <v>208</v>
      </c>
      <c r="B1" s="89" t="s">
        <v>209</v>
      </c>
      <c r="C1" s="90" t="s">
        <v>210</v>
      </c>
      <c r="D1" s="91" t="s">
        <v>211</v>
      </c>
      <c r="E1" s="90" t="s">
        <v>212</v>
      </c>
      <c r="F1" s="91" t="s">
        <v>213</v>
      </c>
      <c r="G1" s="90" t="s">
        <v>214</v>
      </c>
      <c r="H1" s="91" t="s">
        <v>215</v>
      </c>
      <c r="I1" s="90" t="s">
        <v>216</v>
      </c>
      <c r="J1" s="91" t="s">
        <v>217</v>
      </c>
      <c r="K1" s="90" t="s">
        <v>218</v>
      </c>
      <c r="L1" s="91" t="s">
        <v>219</v>
      </c>
      <c r="M1" s="90" t="s">
        <v>220</v>
      </c>
      <c r="N1" s="90" t="s">
        <v>221</v>
      </c>
      <c r="O1" s="91" t="s">
        <v>222</v>
      </c>
      <c r="P1" s="90" t="s">
        <v>223</v>
      </c>
      <c r="Q1" s="91" t="s">
        <v>224</v>
      </c>
      <c r="R1" s="90" t="s">
        <v>225</v>
      </c>
      <c r="S1" s="91" t="s">
        <v>226</v>
      </c>
      <c r="T1" s="90" t="s">
        <v>227</v>
      </c>
      <c r="U1" s="91" t="s">
        <v>228</v>
      </c>
      <c r="V1" s="90" t="s">
        <v>229</v>
      </c>
      <c r="W1" s="91" t="s">
        <v>230</v>
      </c>
    </row>
    <row r="2" spans="1:23">
      <c r="A2" s="92" t="s">
        <v>71</v>
      </c>
      <c r="B2" s="92" t="s">
        <v>192</v>
      </c>
      <c r="C2" s="83" t="s">
        <v>231</v>
      </c>
      <c r="D2" s="93">
        <v>0</v>
      </c>
      <c r="E2" s="83">
        <v>1949.8865225998663</v>
      </c>
      <c r="F2" s="93">
        <f>AVERAGE(E2:E3)</f>
        <v>1976.3908141016936</v>
      </c>
      <c r="G2" s="83">
        <v>241.63168739269815</v>
      </c>
      <c r="H2" s="93">
        <f>AVERAGE(G2:G3)</f>
        <v>254.63439152394972</v>
      </c>
      <c r="I2" s="83">
        <v>141.34835881234224</v>
      </c>
      <c r="J2" s="93">
        <f>AVERAGE(I2:I3)</f>
        <v>137.64914843504494</v>
      </c>
      <c r="K2" s="83">
        <v>925.52361659996745</v>
      </c>
      <c r="L2" s="93">
        <f>AVERAGE(K2:K3)</f>
        <v>882.31540724332649</v>
      </c>
      <c r="M2" s="83">
        <v>24.790261926999356</v>
      </c>
      <c r="N2" s="83">
        <f>D2+F2+H2+J2+L2</f>
        <v>3250.9897613040148</v>
      </c>
      <c r="O2" s="93">
        <f>AVERAGE(M2:M3)</f>
        <v>22.897647530988237</v>
      </c>
      <c r="P2" s="83">
        <v>21.818337831701388</v>
      </c>
      <c r="Q2" s="93">
        <f>AVERAGE(P2:P3)</f>
        <v>20.025831233926464</v>
      </c>
      <c r="R2" s="83">
        <v>5.4345500826825628</v>
      </c>
      <c r="S2" s="93">
        <f>AVERAGE(R2:R3)</f>
        <v>5.4245861912408362</v>
      </c>
      <c r="T2" s="83">
        <v>18.334869327796145</v>
      </c>
      <c r="U2" s="93">
        <f>AVERAGE(T2:T3)</f>
        <v>16.803044937420427</v>
      </c>
      <c r="V2" s="83">
        <v>0.72567149467375092</v>
      </c>
      <c r="W2" s="93">
        <f>AVERAGE(V2:V3)</f>
        <v>0.75622336128334322</v>
      </c>
    </row>
    <row r="3" spans="1:23">
      <c r="A3" s="92" t="s">
        <v>71</v>
      </c>
      <c r="B3" s="92" t="s">
        <v>192</v>
      </c>
      <c r="C3" s="83" t="s">
        <v>231</v>
      </c>
      <c r="D3" s="93"/>
      <c r="E3" s="83">
        <v>2002.895105603521</v>
      </c>
      <c r="F3" s="93"/>
      <c r="G3" s="83">
        <v>267.63709565520128</v>
      </c>
      <c r="H3" s="93"/>
      <c r="I3" s="83">
        <v>133.9499380577476</v>
      </c>
      <c r="J3" s="93"/>
      <c r="K3" s="83">
        <v>839.10719788668541</v>
      </c>
      <c r="L3" s="93"/>
      <c r="M3" s="83">
        <v>21.005033134977115</v>
      </c>
      <c r="O3" s="93"/>
      <c r="P3" s="83">
        <v>18.23332463615154</v>
      </c>
      <c r="Q3" s="93"/>
      <c r="R3" s="83">
        <v>5.4146222997991096</v>
      </c>
      <c r="S3" s="93"/>
      <c r="T3" s="83">
        <v>15.271220547044711</v>
      </c>
      <c r="U3" s="93"/>
      <c r="V3" s="83">
        <v>0.78677522789293552</v>
      </c>
      <c r="W3" s="93"/>
    </row>
    <row r="4" spans="1:23">
      <c r="A4" s="92" t="s">
        <v>204</v>
      </c>
      <c r="B4" s="92" t="s">
        <v>192</v>
      </c>
      <c r="C4" s="83">
        <v>0</v>
      </c>
      <c r="D4" s="93">
        <f>AVERAGE(C4:C5)</f>
        <v>0</v>
      </c>
      <c r="E4" s="83">
        <v>2608.3506854615362</v>
      </c>
      <c r="F4" s="93">
        <f>AVERAGE(E4:E5)</f>
        <v>2431.5555053625912</v>
      </c>
      <c r="G4" s="83">
        <v>418.19733316001708</v>
      </c>
      <c r="H4" s="93">
        <f>AVERAGE(G4:G5)</f>
        <v>393.81123770673292</v>
      </c>
      <c r="I4" s="83">
        <v>260.26956248152914</v>
      </c>
      <c r="J4" s="93">
        <f>AVERAGE(I4:I5)</f>
        <v>230.39445960763464</v>
      </c>
      <c r="K4" s="83">
        <v>1012.7012517481966</v>
      </c>
      <c r="L4" s="93">
        <f>AVERAGE(K4:K5)</f>
        <v>879.07085534720136</v>
      </c>
      <c r="M4" s="83">
        <v>20.953454869964816</v>
      </c>
      <c r="N4" s="83">
        <f>D4+F4+H4+J4+L4</f>
        <v>3934.8320580241598</v>
      </c>
      <c r="O4" s="93">
        <f>AVERAGE(M4:M5)</f>
        <v>19.803721455101034</v>
      </c>
      <c r="P4" s="83">
        <v>10.829236505995949</v>
      </c>
      <c r="Q4" s="93">
        <f>AVERAGE(P4:P5)</f>
        <v>10.89730175703637</v>
      </c>
      <c r="R4" s="83">
        <v>0</v>
      </c>
      <c r="S4" s="93">
        <f>AVERAGE(R4:R5)</f>
        <v>0</v>
      </c>
      <c r="T4" s="83">
        <v>18.469007208475478</v>
      </c>
      <c r="U4" s="93">
        <f>AVERAGE(T4:T5)</f>
        <v>15.8104387799163</v>
      </c>
      <c r="V4" s="83">
        <v>0.65484952302674759</v>
      </c>
      <c r="W4" s="93">
        <f>AVERAGE(V4:V5)</f>
        <v>0.68226089019528913</v>
      </c>
    </row>
    <row r="5" spans="1:23">
      <c r="A5" s="92" t="s">
        <v>204</v>
      </c>
      <c r="B5" s="92" t="s">
        <v>192</v>
      </c>
      <c r="C5" s="83" t="s">
        <v>231</v>
      </c>
      <c r="D5" s="93"/>
      <c r="E5" s="83">
        <v>2254.7603252636459</v>
      </c>
      <c r="F5" s="93"/>
      <c r="G5" s="83">
        <v>369.42514225344877</v>
      </c>
      <c r="H5" s="93"/>
      <c r="I5" s="83">
        <v>200.51935673374015</v>
      </c>
      <c r="J5" s="93"/>
      <c r="K5" s="83">
        <v>745.44045894620604</v>
      </c>
      <c r="L5" s="93"/>
      <c r="M5" s="83">
        <v>18.653988040237252</v>
      </c>
      <c r="O5" s="93"/>
      <c r="P5" s="83">
        <v>10.965367008076791</v>
      </c>
      <c r="Q5" s="93"/>
      <c r="R5" s="83">
        <v>0</v>
      </c>
      <c r="S5" s="93"/>
      <c r="T5" s="83">
        <v>13.15187035135712</v>
      </c>
      <c r="U5" s="93"/>
      <c r="V5" s="83">
        <v>0.70967225736383077</v>
      </c>
      <c r="W5" s="93"/>
    </row>
    <row r="6" spans="1:23">
      <c r="A6" s="92" t="s">
        <v>205</v>
      </c>
      <c r="B6" s="92" t="s">
        <v>192</v>
      </c>
      <c r="C6" s="83" t="s">
        <v>231</v>
      </c>
      <c r="D6" s="93">
        <f>AVERAGE(C6:C7)</f>
        <v>1.4431138509420713</v>
      </c>
      <c r="E6" s="83">
        <v>2688.6403214846396</v>
      </c>
      <c r="F6" s="93">
        <f>AVERAGE(E6:E7)</f>
        <v>2470.8659905221903</v>
      </c>
      <c r="G6" s="83">
        <v>534.92151068466114</v>
      </c>
      <c r="H6" s="93">
        <f>AVERAGE(G6:G7)</f>
        <v>496.99447395938193</v>
      </c>
      <c r="I6" s="83">
        <v>358.96661512057642</v>
      </c>
      <c r="J6" s="93">
        <f>AVERAGE(I6:I7)</f>
        <v>326.5206550190797</v>
      </c>
      <c r="K6" s="83">
        <v>1012.0075916506258</v>
      </c>
      <c r="L6" s="93">
        <f>AVERAGE(K6:K7)</f>
        <v>868.52398299454353</v>
      </c>
      <c r="M6" s="83">
        <v>20.884170633381125</v>
      </c>
      <c r="N6" s="83">
        <f>D6+F6+H6+J6+L6</f>
        <v>4164.3482163461376</v>
      </c>
      <c r="O6" s="93">
        <f>AVERAGE(M6:M7)</f>
        <v>20.013113814553961</v>
      </c>
      <c r="P6" s="83">
        <v>11.189331489158851</v>
      </c>
      <c r="Q6" s="93">
        <f>AVERAGE(P6:P7)</f>
        <v>11.264209347988841</v>
      </c>
      <c r="R6" s="83">
        <v>0</v>
      </c>
      <c r="S6" s="93">
        <f>AVERAGE(R6:R7)</f>
        <v>0</v>
      </c>
      <c r="T6" s="83">
        <v>17.558833073704093</v>
      </c>
      <c r="U6" s="93">
        <f>AVERAGE(T6:T7)</f>
        <v>15.815465410561039</v>
      </c>
      <c r="V6" s="83">
        <v>0.69345046497541107</v>
      </c>
      <c r="W6" s="93">
        <f>AVERAGE(V6:V7)</f>
        <v>0.74128744268181035</v>
      </c>
    </row>
    <row r="7" spans="1:23">
      <c r="A7" s="92" t="s">
        <v>205</v>
      </c>
      <c r="B7" s="92" t="s">
        <v>192</v>
      </c>
      <c r="C7" s="83">
        <v>1.4431138509420713</v>
      </c>
      <c r="D7" s="93"/>
      <c r="E7" s="83">
        <v>2253.0916595597405</v>
      </c>
      <c r="F7" s="93"/>
      <c r="G7" s="83">
        <v>459.06743723410273</v>
      </c>
      <c r="H7" s="93"/>
      <c r="I7" s="83">
        <v>294.07469491758297</v>
      </c>
      <c r="J7" s="93"/>
      <c r="K7" s="83">
        <v>725.04037433846122</v>
      </c>
      <c r="L7" s="93"/>
      <c r="M7" s="83">
        <v>19.142056995726797</v>
      </c>
      <c r="O7" s="93"/>
      <c r="P7" s="83">
        <v>11.33908720681883</v>
      </c>
      <c r="Q7" s="93"/>
      <c r="R7" s="83">
        <v>0</v>
      </c>
      <c r="S7" s="93"/>
      <c r="T7" s="83">
        <v>14.072097747417985</v>
      </c>
      <c r="U7" s="93"/>
      <c r="V7" s="83">
        <v>0.78912442038820974</v>
      </c>
      <c r="W7" s="93"/>
    </row>
    <row r="8" spans="1:23">
      <c r="A8" s="92" t="s">
        <v>206</v>
      </c>
      <c r="B8" s="92" t="s">
        <v>192</v>
      </c>
      <c r="C8" s="83" t="s">
        <v>231</v>
      </c>
      <c r="D8" s="93">
        <v>0</v>
      </c>
      <c r="E8" s="83">
        <v>2170.0894394560487</v>
      </c>
      <c r="F8" s="93">
        <f>AVERAGE(E8:E9)</f>
        <v>2056.8797048358192</v>
      </c>
      <c r="G8" s="83">
        <v>364.23591566534191</v>
      </c>
      <c r="H8" s="93">
        <f>AVERAGE(G8:G9)</f>
        <v>355.140135370949</v>
      </c>
      <c r="I8" s="83">
        <v>227.33785274649955</v>
      </c>
      <c r="J8" s="93">
        <f>AVERAGE(I8:I9)</f>
        <v>213.02722066442072</v>
      </c>
      <c r="K8" s="83">
        <v>707.01708266411003</v>
      </c>
      <c r="L8" s="93">
        <f>AVERAGE(K8:K9)</f>
        <v>671.64686873215192</v>
      </c>
      <c r="M8" s="83">
        <v>22.251379568632601</v>
      </c>
      <c r="N8" s="83">
        <f>D8+F8+H8+J8+L8</f>
        <v>3296.6939296033406</v>
      </c>
      <c r="O8" s="93">
        <f>AVERAGE(M8:M9)</f>
        <v>21.678244967115305</v>
      </c>
      <c r="P8" s="83">
        <v>13.371434094899721</v>
      </c>
      <c r="Q8" s="93">
        <f>AVERAGE(P8:P9)</f>
        <v>13.527333324941363</v>
      </c>
      <c r="R8" s="83">
        <v>0</v>
      </c>
      <c r="S8" s="93">
        <f>AVERAGE(R8:R9)</f>
        <v>2.6873833670161011</v>
      </c>
      <c r="T8" s="83">
        <v>20.603366498482576</v>
      </c>
      <c r="U8" s="93">
        <f>AVERAGE(T8:T9)</f>
        <v>18.860518017847426</v>
      </c>
      <c r="V8" s="83">
        <v>0.74896559289004883</v>
      </c>
      <c r="W8" s="93">
        <f>AVERAGE(V8:V9)</f>
        <v>0.86343308826504117</v>
      </c>
    </row>
    <row r="9" spans="1:23">
      <c r="A9" s="92" t="s">
        <v>206</v>
      </c>
      <c r="B9" s="92" t="s">
        <v>192</v>
      </c>
      <c r="C9" s="83" t="s">
        <v>231</v>
      </c>
      <c r="D9" s="93"/>
      <c r="E9" s="83">
        <v>1943.6699702155902</v>
      </c>
      <c r="F9" s="93"/>
      <c r="G9" s="83">
        <v>346.04435507655603</v>
      </c>
      <c r="H9" s="93"/>
      <c r="I9" s="83">
        <v>198.7165885823419</v>
      </c>
      <c r="J9" s="93"/>
      <c r="K9" s="83">
        <v>636.27665480019368</v>
      </c>
      <c r="L9" s="93"/>
      <c r="M9" s="83">
        <v>21.105110365598005</v>
      </c>
      <c r="O9" s="93"/>
      <c r="P9" s="83">
        <v>13.683232554983004</v>
      </c>
      <c r="Q9" s="93"/>
      <c r="R9" s="83">
        <v>5.3747667340322023</v>
      </c>
      <c r="S9" s="93"/>
      <c r="T9" s="83">
        <v>17.117669537212279</v>
      </c>
      <c r="U9" s="93"/>
      <c r="V9" s="83">
        <v>0.97790058364003352</v>
      </c>
      <c r="W9" s="93"/>
    </row>
    <row r="10" spans="1:23">
      <c r="A10" s="92" t="s">
        <v>73</v>
      </c>
      <c r="B10" s="92" t="s">
        <v>192</v>
      </c>
      <c r="C10" s="83" t="s">
        <v>231</v>
      </c>
      <c r="D10" s="93">
        <f>AVERAGE(C10:C11)</f>
        <v>1.195103899542717</v>
      </c>
      <c r="E10" s="83">
        <v>2443.2264518564493</v>
      </c>
      <c r="F10" s="93">
        <f>AVERAGE(E10:E11)</f>
        <v>2495.6790320412138</v>
      </c>
      <c r="G10" s="83">
        <v>430.93320278273774</v>
      </c>
      <c r="H10" s="93">
        <f>AVERAGE(G10:G11)</f>
        <v>422.35156391690771</v>
      </c>
      <c r="I10" s="83">
        <v>258.82258177865828</v>
      </c>
      <c r="J10" s="93">
        <f>AVERAGE(I10:I11)</f>
        <v>245.61507970859191</v>
      </c>
      <c r="K10" s="83">
        <v>1136.7975258921879</v>
      </c>
      <c r="L10" s="93">
        <f>AVERAGE(K10:K11)</f>
        <v>1017.185340166355</v>
      </c>
      <c r="M10" s="83">
        <v>21.976552096850629</v>
      </c>
      <c r="N10" s="83">
        <f>D10+F10+H10+J10+L10</f>
        <v>4182.0261197326108</v>
      </c>
      <c r="O10" s="93">
        <f>AVERAGE(M10:M11)</f>
        <v>20.702107056136207</v>
      </c>
      <c r="P10" s="83">
        <v>10.482158469859545</v>
      </c>
      <c r="Q10" s="93">
        <f>AVERAGE(P10:P11)</f>
        <v>10.684955205309734</v>
      </c>
      <c r="R10" s="83">
        <v>0</v>
      </c>
      <c r="S10" s="93">
        <f>AVERAGE(R10:R11)</f>
        <v>0</v>
      </c>
      <c r="T10" s="83">
        <v>19.727930393331171</v>
      </c>
      <c r="U10" s="93">
        <f>AVERAGE(T10:T11)</f>
        <v>16.7801773078676</v>
      </c>
      <c r="V10" s="83">
        <v>0.73855496088467565</v>
      </c>
      <c r="W10" s="93">
        <f>AVERAGE(V10:V11)</f>
        <v>0.76899554995501818</v>
      </c>
    </row>
    <row r="11" spans="1:23">
      <c r="A11" s="92" t="s">
        <v>73</v>
      </c>
      <c r="B11" s="92" t="s">
        <v>192</v>
      </c>
      <c r="C11" s="83">
        <v>1.195103899542717</v>
      </c>
      <c r="D11" s="93"/>
      <c r="E11" s="83">
        <v>2548.1316122259777</v>
      </c>
      <c r="F11" s="93"/>
      <c r="G11" s="83">
        <v>413.76992505107762</v>
      </c>
      <c r="H11" s="93"/>
      <c r="I11" s="83">
        <v>232.40757763852557</v>
      </c>
      <c r="J11" s="93"/>
      <c r="K11" s="83">
        <v>897.57315444052222</v>
      </c>
      <c r="L11" s="93"/>
      <c r="M11" s="83">
        <v>19.427662015421785</v>
      </c>
      <c r="O11" s="93"/>
      <c r="P11" s="83">
        <v>10.887751940759923</v>
      </c>
      <c r="Q11" s="93"/>
      <c r="R11" s="83">
        <v>0</v>
      </c>
      <c r="S11" s="93"/>
      <c r="T11" s="83">
        <v>13.832424222404029</v>
      </c>
      <c r="U11" s="93"/>
      <c r="V11" s="83">
        <v>0.7994361390253607</v>
      </c>
      <c r="W11" s="93"/>
    </row>
    <row r="12" spans="1:23">
      <c r="A12" s="92" t="s">
        <v>74</v>
      </c>
      <c r="B12" s="92" t="s">
        <v>192</v>
      </c>
      <c r="C12" s="83" t="s">
        <v>231</v>
      </c>
      <c r="D12" s="93">
        <f>AVERAGE(C12:C13)</f>
        <v>0.41131227287948863</v>
      </c>
      <c r="E12" s="83">
        <v>1465.3962798239895</v>
      </c>
      <c r="F12" s="93">
        <f>AVERAGE(E12:E13)</f>
        <v>1432.545495138942</v>
      </c>
      <c r="G12" s="83">
        <v>292.22053035205704</v>
      </c>
      <c r="H12" s="93">
        <f>AVERAGE(G12:G13)</f>
        <v>301.41503774894306</v>
      </c>
      <c r="I12" s="83">
        <v>189.14951800686825</v>
      </c>
      <c r="J12" s="93">
        <f>AVERAGE(I12:I13)</f>
        <v>180.52752371980114</v>
      </c>
      <c r="K12" s="83">
        <v>452.533488259291</v>
      </c>
      <c r="L12" s="93">
        <f>AVERAGE(K12:K13)</f>
        <v>410.20414917572054</v>
      </c>
      <c r="M12" s="83">
        <v>23.058156012407117</v>
      </c>
      <c r="N12" s="83">
        <f>D12+F12+H12+J12+L12</f>
        <v>2325.1035180562862</v>
      </c>
      <c r="O12" s="93">
        <f>AVERAGE(M12:M13)</f>
        <v>22.550071610793395</v>
      </c>
      <c r="P12" s="83">
        <v>18.339041710600377</v>
      </c>
      <c r="Q12" s="93">
        <f>AVERAGE(P12:P13)</f>
        <v>18.337886000350359</v>
      </c>
      <c r="R12" s="83">
        <v>5.3685986107587533</v>
      </c>
      <c r="S12" s="93">
        <f>AVERAGE(R12:R13)</f>
        <v>5.3891194824184989</v>
      </c>
      <c r="T12" s="83">
        <v>21.547334694677748</v>
      </c>
      <c r="U12" s="93">
        <f>AVERAGE(T12:T13)</f>
        <v>17.971276377826669</v>
      </c>
      <c r="V12" s="83">
        <v>0.63452282585711195</v>
      </c>
      <c r="W12" s="93">
        <f>AVERAGE(V12:V13)</f>
        <v>0.63719348679910792</v>
      </c>
    </row>
    <row r="13" spans="1:23">
      <c r="A13" s="92" t="s">
        <v>74</v>
      </c>
      <c r="B13" s="92" t="s">
        <v>192</v>
      </c>
      <c r="C13" s="83">
        <v>0.41131227287948863</v>
      </c>
      <c r="D13" s="93"/>
      <c r="E13" s="83">
        <v>1399.6947104538945</v>
      </c>
      <c r="F13" s="93"/>
      <c r="G13" s="83">
        <v>310.60954514582914</v>
      </c>
      <c r="H13" s="93"/>
      <c r="I13" s="83">
        <v>171.90552943273403</v>
      </c>
      <c r="J13" s="93"/>
      <c r="K13" s="83">
        <v>367.87481009215008</v>
      </c>
      <c r="L13" s="93"/>
      <c r="M13" s="83">
        <v>22.041987209179673</v>
      </c>
      <c r="O13" s="93"/>
      <c r="P13" s="83">
        <v>18.336730290100345</v>
      </c>
      <c r="Q13" s="93"/>
      <c r="R13" s="83">
        <v>5.4096403540782454</v>
      </c>
      <c r="S13" s="93"/>
      <c r="T13" s="83">
        <v>14.395218060975592</v>
      </c>
      <c r="U13" s="93"/>
      <c r="V13" s="83">
        <v>0.63986414774110389</v>
      </c>
      <c r="W13" s="93"/>
    </row>
    <row r="14" spans="1:23">
      <c r="A14" s="92" t="s">
        <v>75</v>
      </c>
      <c r="B14" s="92" t="s">
        <v>192</v>
      </c>
      <c r="C14" s="83" t="s">
        <v>231</v>
      </c>
      <c r="D14" s="93">
        <f>AVERAGE(C14:C15)</f>
        <v>0.40855266115004846</v>
      </c>
      <c r="E14" s="83">
        <v>1488.4179542060333</v>
      </c>
      <c r="F14" s="93">
        <f>AVERAGE(E14:E15)</f>
        <v>1335.3689731295667</v>
      </c>
      <c r="G14" s="83">
        <v>342.26486933750334</v>
      </c>
      <c r="H14" s="93">
        <f>AVERAGE(G14:G15)</f>
        <v>309.74019981735273</v>
      </c>
      <c r="I14" s="83">
        <v>210.98108458267757</v>
      </c>
      <c r="J14" s="93">
        <f>AVERAGE(I14:I15)</f>
        <v>193.22690078402258</v>
      </c>
      <c r="K14" s="83">
        <v>423.61854772677941</v>
      </c>
      <c r="L14" s="93">
        <f>AVERAGE(K14:K15)</f>
        <v>362.96689764885753</v>
      </c>
      <c r="M14" s="83">
        <v>42.382299420449051</v>
      </c>
      <c r="N14" s="83">
        <f>D14+F14+H14+J14+L14</f>
        <v>2201.7115240409494</v>
      </c>
      <c r="O14" s="93">
        <f>AVERAGE(M14:M15)</f>
        <v>40.51508924451862</v>
      </c>
      <c r="P14" s="83">
        <v>66.264642626819438</v>
      </c>
      <c r="Q14" s="93">
        <f>AVERAGE(P14:P15)</f>
        <v>61.579514926964812</v>
      </c>
      <c r="R14" s="83">
        <v>6.2444721155886223</v>
      </c>
      <c r="S14" s="93">
        <f>AVERAGE(R14:R15)</f>
        <v>6.1518316487316174</v>
      </c>
      <c r="T14" s="83">
        <v>21.903588291921807</v>
      </c>
      <c r="U14" s="93">
        <f>AVERAGE(T14:T15)</f>
        <v>19.699446153010982</v>
      </c>
      <c r="V14" s="83">
        <v>0.62010620243874504</v>
      </c>
      <c r="W14" s="93">
        <f>AVERAGE(V14:V15)</f>
        <v>0.62841492536939914</v>
      </c>
    </row>
    <row r="15" spans="1:23">
      <c r="A15" s="92" t="s">
        <v>75</v>
      </c>
      <c r="B15" s="92" t="s">
        <v>192</v>
      </c>
      <c r="C15" s="83">
        <v>0.40855266115004846</v>
      </c>
      <c r="D15" s="93"/>
      <c r="E15" s="83">
        <v>1182.3199920531003</v>
      </c>
      <c r="F15" s="93"/>
      <c r="G15" s="83">
        <v>277.21553029720212</v>
      </c>
      <c r="H15" s="93"/>
      <c r="I15" s="83">
        <v>175.47271698536755</v>
      </c>
      <c r="J15" s="93"/>
      <c r="K15" s="83">
        <v>302.31524757093558</v>
      </c>
      <c r="L15" s="93"/>
      <c r="M15" s="83">
        <v>38.647879068588196</v>
      </c>
      <c r="O15" s="93"/>
      <c r="P15" s="83">
        <v>56.894387227110187</v>
      </c>
      <c r="Q15" s="93"/>
      <c r="R15" s="83">
        <v>6.0591911818746116</v>
      </c>
      <c r="S15" s="93"/>
      <c r="T15" s="83">
        <v>17.49530401410016</v>
      </c>
      <c r="U15" s="93"/>
      <c r="V15" s="83">
        <v>0.63672364830005312</v>
      </c>
      <c r="W15" s="93"/>
    </row>
    <row r="16" spans="1:23">
      <c r="A16" s="92" t="s">
        <v>76</v>
      </c>
      <c r="B16" s="92" t="s">
        <v>192</v>
      </c>
      <c r="C16" s="83" t="s">
        <v>231</v>
      </c>
      <c r="D16" s="93">
        <f>AVERAGE(C16:C17)</f>
        <v>0</v>
      </c>
      <c r="E16" s="83">
        <v>972.38649211781535</v>
      </c>
      <c r="F16" s="93">
        <f>AVERAGE(E16:E17)</f>
        <v>815.1334280656356</v>
      </c>
      <c r="G16" s="83">
        <v>228.97999238128435</v>
      </c>
      <c r="H16" s="93">
        <f>AVERAGE(G16:G17)</f>
        <v>190.93853895745099</v>
      </c>
      <c r="I16" s="83">
        <v>174.07197075052872</v>
      </c>
      <c r="J16" s="93">
        <f>AVERAGE(I16:I17)</f>
        <v>140.27329138714265</v>
      </c>
      <c r="K16" s="83">
        <v>233.49193088259941</v>
      </c>
      <c r="L16" s="93">
        <f>AVERAGE(K16:K17)</f>
        <v>181.76808830273629</v>
      </c>
      <c r="M16" s="83">
        <v>94.648787849482574</v>
      </c>
      <c r="N16" s="83">
        <f>D16+F16+H16+J16+L16</f>
        <v>1328.1133467129655</v>
      </c>
      <c r="O16" s="93">
        <f>AVERAGE(M16:M17)</f>
        <v>87.311202282844391</v>
      </c>
      <c r="P16" s="83">
        <v>211.52330922341824</v>
      </c>
      <c r="Q16" s="93">
        <f>AVERAGE(P16:P17)</f>
        <v>196.07961397930876</v>
      </c>
      <c r="R16" s="83">
        <v>8.9757645481742898</v>
      </c>
      <c r="S16" s="93">
        <f>AVERAGE(R16:R17)</f>
        <v>8.6093543021803214</v>
      </c>
      <c r="T16" s="83">
        <v>24.181902731848666</v>
      </c>
      <c r="U16" s="93">
        <f>AVERAGE(T16:T17)</f>
        <v>21.387497279857001</v>
      </c>
      <c r="V16" s="83">
        <v>0.6771050308767137</v>
      </c>
      <c r="W16" s="93">
        <f>AVERAGE(V16:V17)</f>
        <v>0.6171140730500273</v>
      </c>
    </row>
    <row r="17" spans="1:23">
      <c r="A17" s="92" t="s">
        <v>76</v>
      </c>
      <c r="B17" s="92" t="s">
        <v>192</v>
      </c>
      <c r="C17" s="83">
        <v>0</v>
      </c>
      <c r="D17" s="93"/>
      <c r="E17" s="83">
        <v>657.88036401345573</v>
      </c>
      <c r="F17" s="93"/>
      <c r="G17" s="83">
        <v>152.89708553361763</v>
      </c>
      <c r="H17" s="93"/>
      <c r="I17" s="83">
        <v>106.47461202375656</v>
      </c>
      <c r="J17" s="93"/>
      <c r="K17" s="83">
        <v>130.04424572287317</v>
      </c>
      <c r="L17" s="93"/>
      <c r="M17" s="83">
        <v>79.973616716206209</v>
      </c>
      <c r="O17" s="93"/>
      <c r="P17" s="83">
        <v>180.63591873519925</v>
      </c>
      <c r="Q17" s="93"/>
      <c r="R17" s="83">
        <v>8.242944056186353</v>
      </c>
      <c r="S17" s="93"/>
      <c r="T17" s="83">
        <v>18.593091827865337</v>
      </c>
      <c r="U17" s="93"/>
      <c r="V17" s="83">
        <v>0.5571231152233409</v>
      </c>
      <c r="W17" s="93"/>
    </row>
    <row r="18" spans="1:23">
      <c r="A18" s="92" t="s">
        <v>77</v>
      </c>
      <c r="B18" s="92" t="s">
        <v>192</v>
      </c>
      <c r="C18" s="83" t="s">
        <v>231</v>
      </c>
      <c r="D18" s="93">
        <f>AVERAGE(C18:C19)</f>
        <v>0</v>
      </c>
      <c r="E18" s="83">
        <v>610.39557559519915</v>
      </c>
      <c r="F18" s="93">
        <f>AVERAGE(E18:E19)</f>
        <v>611.1357930188758</v>
      </c>
      <c r="G18" s="83">
        <v>117.26727602935161</v>
      </c>
      <c r="H18" s="93">
        <f>AVERAGE(G18:G19)</f>
        <v>115.53406894498113</v>
      </c>
      <c r="I18" s="83">
        <v>120.04339735160517</v>
      </c>
      <c r="J18" s="93">
        <f>AVERAGE(I18:I19)</f>
        <v>116.47941661568458</v>
      </c>
      <c r="K18" s="83">
        <v>124.83408626474956</v>
      </c>
      <c r="L18" s="93">
        <f>AVERAGE(K18:K19)</f>
        <v>114.24186173921619</v>
      </c>
      <c r="M18" s="83">
        <v>159.38874833813301</v>
      </c>
      <c r="N18" s="83">
        <f>D18+F18+H18+J18+L18</f>
        <v>957.39114031875772</v>
      </c>
      <c r="O18" s="93">
        <f>AVERAGE(M18:M19)</f>
        <v>157.65163856200974</v>
      </c>
      <c r="P18" s="83">
        <v>376.58865973850305</v>
      </c>
      <c r="Q18" s="93">
        <f>AVERAGE(P18:P19)</f>
        <v>370.96546027676698</v>
      </c>
      <c r="R18" s="83">
        <v>14.382124597353027</v>
      </c>
      <c r="S18" s="93">
        <f>AVERAGE(R18:R19)</f>
        <v>12.964642422012162</v>
      </c>
      <c r="T18" s="83">
        <v>27.982743475418715</v>
      </c>
      <c r="U18" s="93">
        <f>AVERAGE(T18:T19)</f>
        <v>25.309449142998893</v>
      </c>
      <c r="V18" s="83">
        <v>0.6541818577912486</v>
      </c>
      <c r="W18" s="93">
        <f>AVERAGE(V18:V19)</f>
        <v>0.62264085749943554</v>
      </c>
    </row>
    <row r="19" spans="1:23">
      <c r="A19" s="92" t="s">
        <v>77</v>
      </c>
      <c r="B19" s="92" t="s">
        <v>192</v>
      </c>
      <c r="C19" s="83">
        <v>0</v>
      </c>
      <c r="D19" s="93"/>
      <c r="E19" s="83">
        <v>611.87601044255257</v>
      </c>
      <c r="F19" s="93"/>
      <c r="G19" s="83">
        <v>113.80086186061064</v>
      </c>
      <c r="H19" s="93"/>
      <c r="I19" s="83">
        <v>112.915435879764</v>
      </c>
      <c r="J19" s="93"/>
      <c r="K19" s="83">
        <v>103.64963721368282</v>
      </c>
      <c r="L19" s="93"/>
      <c r="M19" s="83">
        <v>155.91452878588643</v>
      </c>
      <c r="O19" s="93"/>
      <c r="P19" s="83">
        <v>365.34226081503084</v>
      </c>
      <c r="Q19" s="93"/>
      <c r="R19" s="83">
        <v>11.547160246671298</v>
      </c>
      <c r="S19" s="93"/>
      <c r="T19" s="83">
        <v>22.636154810579068</v>
      </c>
      <c r="U19" s="93"/>
      <c r="V19" s="83">
        <v>0.59109985720762259</v>
      </c>
      <c r="W19" s="93"/>
    </row>
    <row r="20" spans="1:23">
      <c r="A20" s="92" t="s">
        <v>74</v>
      </c>
      <c r="B20" s="92" t="s">
        <v>193</v>
      </c>
      <c r="C20" s="83">
        <v>0.87522745051477846</v>
      </c>
      <c r="D20" s="93">
        <f>AVERAGE(C20:C21)</f>
        <v>0.84880796353199339</v>
      </c>
      <c r="E20" s="83">
        <v>1663.7254219663992</v>
      </c>
      <c r="F20" s="93">
        <f>AVERAGE(E20:E21)</f>
        <v>1512.9521683453061</v>
      </c>
      <c r="G20" s="83">
        <v>341.89894792670196</v>
      </c>
      <c r="H20" s="93">
        <f>AVERAGE(G20:G21)</f>
        <v>312.96992058006731</v>
      </c>
      <c r="I20" s="83">
        <v>217.12206611015338</v>
      </c>
      <c r="J20" s="93">
        <f>AVERAGE(I20:I21)</f>
        <v>187.68654354922589</v>
      </c>
      <c r="K20" s="83">
        <v>515.44958480476316</v>
      </c>
      <c r="L20" s="93">
        <f>AVERAGE(K20:K21)</f>
        <v>440.98595829072485</v>
      </c>
      <c r="M20" s="83">
        <v>35.091288257292135</v>
      </c>
      <c r="N20" s="94">
        <f>D20+F20+H20+J20+L20</f>
        <v>2455.4433987288562</v>
      </c>
      <c r="O20" s="93">
        <f>AVERAGE(M20:M21)</f>
        <v>33.25564090024983</v>
      </c>
      <c r="P20" s="83">
        <v>34.072394439477051</v>
      </c>
      <c r="Q20" s="93">
        <f>AVERAGE(P20:P21)</f>
        <v>33.424710084625943</v>
      </c>
      <c r="R20" s="83">
        <v>5.7716617431276447</v>
      </c>
      <c r="S20" s="93">
        <f>AVERAGE(R20:R21)</f>
        <v>5.7163858691771141</v>
      </c>
      <c r="T20" s="83">
        <v>24.197195016627028</v>
      </c>
      <c r="U20" s="93">
        <f>AVERAGE(T20:T21)</f>
        <v>21.380441117590443</v>
      </c>
      <c r="V20" s="83">
        <v>0.81790821054083263</v>
      </c>
      <c r="W20" s="93">
        <f>AVERAGE(V20:V21)</f>
        <v>0.77057816384657141</v>
      </c>
    </row>
    <row r="21" spans="1:23">
      <c r="A21" s="92" t="s">
        <v>74</v>
      </c>
      <c r="B21" s="92" t="s">
        <v>193</v>
      </c>
      <c r="C21" s="83">
        <v>0.82238847654920844</v>
      </c>
      <c r="D21" s="93"/>
      <c r="E21" s="83">
        <v>1362.178914724213</v>
      </c>
      <c r="F21" s="93"/>
      <c r="G21" s="83">
        <v>284.04089323343271</v>
      </c>
      <c r="H21" s="93"/>
      <c r="I21" s="83">
        <v>158.25102098829839</v>
      </c>
      <c r="J21" s="93"/>
      <c r="K21" s="83">
        <v>366.52233177668649</v>
      </c>
      <c r="L21" s="93"/>
      <c r="M21" s="83">
        <v>31.419993543207518</v>
      </c>
      <c r="N21" s="94"/>
      <c r="O21" s="93"/>
      <c r="P21" s="83">
        <v>32.777025729774827</v>
      </c>
      <c r="Q21" s="93"/>
      <c r="R21" s="83">
        <v>5.6611099952265835</v>
      </c>
      <c r="S21" s="93"/>
      <c r="T21" s="83">
        <v>18.563687218553856</v>
      </c>
      <c r="U21" s="93"/>
      <c r="V21" s="83">
        <v>0.72324811715231019</v>
      </c>
      <c r="W21" s="93"/>
    </row>
    <row r="22" spans="1:23">
      <c r="A22" s="92" t="s">
        <v>75</v>
      </c>
      <c r="B22" s="92" t="s">
        <v>193</v>
      </c>
      <c r="C22" s="83">
        <v>0.67471292631600344</v>
      </c>
      <c r="D22" s="93">
        <f>AVERAGE(C22:C23)</f>
        <v>0.56696573225171065</v>
      </c>
      <c r="E22" s="83">
        <v>1600.7471827354711</v>
      </c>
      <c r="F22" s="93">
        <f>AVERAGE(E22:E23)</f>
        <v>1491.0423079365378</v>
      </c>
      <c r="G22" s="83">
        <v>352.95942198016809</v>
      </c>
      <c r="H22" s="93">
        <f>AVERAGE(G22:G23)</f>
        <v>331.06900058471479</v>
      </c>
      <c r="I22" s="83">
        <v>232.8040209095052</v>
      </c>
      <c r="J22" s="93">
        <f>AVERAGE(I22:I23)</f>
        <v>212.80674678401806</v>
      </c>
      <c r="K22" s="83">
        <v>455.4911858597456</v>
      </c>
      <c r="L22" s="93">
        <f>AVERAGE(K22:K23)</f>
        <v>408.58745119266189</v>
      </c>
      <c r="M22" s="83">
        <v>46.716413331184299</v>
      </c>
      <c r="N22" s="94">
        <f>D22+F22+H22+J22+L22</f>
        <v>2444.0724722301843</v>
      </c>
      <c r="O22" s="93">
        <f>AVERAGE(M22:M23)</f>
        <v>45.776457188198911</v>
      </c>
      <c r="P22" s="83">
        <v>69.248078223808292</v>
      </c>
      <c r="Q22" s="93">
        <f>AVERAGE(P22:P23)</f>
        <v>68.834820569144654</v>
      </c>
      <c r="R22" s="83">
        <v>6.4228732194976317</v>
      </c>
      <c r="S22" s="93">
        <f>AVERAGE(R22:R23)</f>
        <v>6.4288041072605644</v>
      </c>
      <c r="T22" s="83">
        <v>29.804649292485209</v>
      </c>
      <c r="U22" s="93">
        <f>AVERAGE(T22:T23)</f>
        <v>26.068493969559434</v>
      </c>
      <c r="V22" s="83">
        <v>0.80648371651118334</v>
      </c>
      <c r="W22" s="93">
        <f>AVERAGE(V22:V23)</f>
        <v>0.7711469157138483</v>
      </c>
    </row>
    <row r="23" spans="1:23">
      <c r="A23" s="92" t="s">
        <v>75</v>
      </c>
      <c r="B23" s="92" t="s">
        <v>193</v>
      </c>
      <c r="C23" s="83">
        <v>0.45921853818741781</v>
      </c>
      <c r="D23" s="93"/>
      <c r="E23" s="83">
        <v>1381.3374331376046</v>
      </c>
      <c r="F23" s="93"/>
      <c r="G23" s="83">
        <v>309.17857918926143</v>
      </c>
      <c r="H23" s="93"/>
      <c r="I23" s="83">
        <v>192.80947265853092</v>
      </c>
      <c r="J23" s="93"/>
      <c r="K23" s="83">
        <v>361.68371652557823</v>
      </c>
      <c r="L23" s="93"/>
      <c r="M23" s="83">
        <v>44.836501045213524</v>
      </c>
      <c r="N23" s="94"/>
      <c r="O23" s="93"/>
      <c r="P23" s="83">
        <v>68.421562914481001</v>
      </c>
      <c r="Q23" s="93"/>
      <c r="R23" s="83">
        <v>6.4347349950234971</v>
      </c>
      <c r="S23" s="93"/>
      <c r="T23" s="83">
        <v>22.332338646633655</v>
      </c>
      <c r="U23" s="93"/>
      <c r="V23" s="83">
        <v>0.73581011491651327</v>
      </c>
      <c r="W23" s="93"/>
    </row>
    <row r="24" spans="1:23">
      <c r="A24" s="92" t="s">
        <v>76</v>
      </c>
      <c r="B24" s="92" t="s">
        <v>193</v>
      </c>
      <c r="C24" s="83">
        <v>0.34401252659247999</v>
      </c>
      <c r="D24" s="93">
        <f>AVERAGE(C24:C25)</f>
        <v>0.17200626329624</v>
      </c>
      <c r="E24" s="83">
        <v>1190.2524288819423</v>
      </c>
      <c r="F24" s="93">
        <f>AVERAGE(E24:E25)</f>
        <v>1136.3792968019209</v>
      </c>
      <c r="G24" s="83">
        <v>256.14674218958021</v>
      </c>
      <c r="H24" s="93">
        <f>AVERAGE(G24:G25)</f>
        <v>245.67988970347551</v>
      </c>
      <c r="I24" s="83">
        <v>201.08703266871447</v>
      </c>
      <c r="J24" s="93">
        <f>AVERAGE(I24:I25)</f>
        <v>182.95115018261868</v>
      </c>
      <c r="K24" s="83">
        <v>297.53718884429748</v>
      </c>
      <c r="L24" s="93">
        <f>AVERAGE(K24:K25)</f>
        <v>270.31995559634595</v>
      </c>
      <c r="M24" s="83">
        <v>83.997491212016712</v>
      </c>
      <c r="N24" s="94">
        <f>D24+F24+H24+J24+L24</f>
        <v>1835.5022985476571</v>
      </c>
      <c r="O24" s="93">
        <f>AVERAGE(M24:M25)</f>
        <v>78.124497424272633</v>
      </c>
      <c r="P24" s="83">
        <v>156.45554061581041</v>
      </c>
      <c r="Q24" s="93">
        <f>AVERAGE(P24:P25)</f>
        <v>157.35474401717818</v>
      </c>
      <c r="R24" s="83">
        <v>9.3218911580190298</v>
      </c>
      <c r="S24" s="93">
        <f>AVERAGE(R24:R25)</f>
        <v>8.8767187225333188</v>
      </c>
      <c r="T24" s="83">
        <v>33.426560864466467</v>
      </c>
      <c r="U24" s="93">
        <f>AVERAGE(T24:T25)</f>
        <v>30.75185057975235</v>
      </c>
      <c r="V24" s="83">
        <v>0.88806251695233684</v>
      </c>
      <c r="W24" s="93">
        <f>AVERAGE(V24:V25)</f>
        <v>0.81256688865684068</v>
      </c>
    </row>
    <row r="25" spans="1:23">
      <c r="A25" s="92" t="s">
        <v>76</v>
      </c>
      <c r="B25" s="92" t="s">
        <v>193</v>
      </c>
      <c r="C25" s="83">
        <v>0</v>
      </c>
      <c r="D25" s="93"/>
      <c r="E25" s="83">
        <v>1082.5061647218995</v>
      </c>
      <c r="F25" s="93"/>
      <c r="G25" s="83">
        <v>235.21303721737084</v>
      </c>
      <c r="H25" s="93"/>
      <c r="I25" s="83">
        <v>164.81526769652288</v>
      </c>
      <c r="J25" s="93"/>
      <c r="K25" s="83">
        <v>243.10272234839437</v>
      </c>
      <c r="L25" s="93"/>
      <c r="M25" s="83">
        <v>72.251503636528554</v>
      </c>
      <c r="N25" s="94"/>
      <c r="O25" s="93"/>
      <c r="P25" s="83">
        <v>158.25394741854595</v>
      </c>
      <c r="Q25" s="93"/>
      <c r="R25" s="83">
        <v>8.4315462870476061</v>
      </c>
      <c r="S25" s="93"/>
      <c r="T25" s="83">
        <v>28.077140295038234</v>
      </c>
      <c r="U25" s="93"/>
      <c r="V25" s="83">
        <v>0.73707126036134463</v>
      </c>
      <c r="W25" s="93"/>
    </row>
    <row r="26" spans="1:23">
      <c r="A26" s="92" t="s">
        <v>77</v>
      </c>
      <c r="B26" s="92" t="s">
        <v>193</v>
      </c>
      <c r="C26" s="83" t="s">
        <v>231</v>
      </c>
      <c r="D26" s="93">
        <v>0</v>
      </c>
      <c r="E26" s="83">
        <v>1259.6211443053271</v>
      </c>
      <c r="F26" s="93">
        <f>AVERAGE(E26:E27)</f>
        <v>1049.9171848172664</v>
      </c>
      <c r="G26" s="83">
        <v>224.11288509664899</v>
      </c>
      <c r="H26" s="93">
        <f>AVERAGE(G26:G27)</f>
        <v>192.97559386233866</v>
      </c>
      <c r="I26" s="83">
        <v>225.56976773499818</v>
      </c>
      <c r="J26" s="93">
        <f>AVERAGE(I26:I27)</f>
        <v>181.97285229051792</v>
      </c>
      <c r="K26" s="83">
        <v>249.49170316372047</v>
      </c>
      <c r="L26" s="93">
        <f>AVERAGE(K26:K27)</f>
        <v>202.20436527096382</v>
      </c>
      <c r="M26" s="83">
        <v>124.36959397279314</v>
      </c>
      <c r="N26" s="94">
        <f>D26+F26+H26+J26+L26</f>
        <v>1627.0699962410868</v>
      </c>
      <c r="O26" s="93">
        <f>AVERAGE(M26:M27)</f>
        <v>119.01652782012192</v>
      </c>
      <c r="P26" s="83">
        <v>248.58257283874434</v>
      </c>
      <c r="Q26" s="93">
        <f>AVERAGE(P26:P27)</f>
        <v>245.47802325748</v>
      </c>
      <c r="R26" s="83">
        <v>12.098081632078758</v>
      </c>
      <c r="S26" s="93">
        <f>AVERAGE(R26:R27)</f>
        <v>11.624410670337825</v>
      </c>
      <c r="T26" s="83">
        <v>44.933123207164478</v>
      </c>
      <c r="U26" s="93">
        <f>AVERAGE(T26:T27)</f>
        <v>39.753680302282518</v>
      </c>
      <c r="V26" s="83">
        <v>0.94594783983953179</v>
      </c>
      <c r="W26" s="93">
        <f>AVERAGE(V26:V27)</f>
        <v>0.87207378088105836</v>
      </c>
    </row>
    <row r="27" spans="1:23">
      <c r="A27" s="92" t="s">
        <v>77</v>
      </c>
      <c r="B27" s="92" t="s">
        <v>193</v>
      </c>
      <c r="C27" s="83" t="s">
        <v>231</v>
      </c>
      <c r="D27" s="93"/>
      <c r="E27" s="83">
        <v>840.2132253292059</v>
      </c>
      <c r="F27" s="93"/>
      <c r="G27" s="83">
        <v>161.83830262802832</v>
      </c>
      <c r="H27" s="93"/>
      <c r="I27" s="83">
        <v>138.37593684603766</v>
      </c>
      <c r="J27" s="93"/>
      <c r="K27" s="83">
        <v>154.91702737820717</v>
      </c>
      <c r="L27" s="93"/>
      <c r="M27" s="83">
        <v>113.6634616674507</v>
      </c>
      <c r="N27" s="94" t="s">
        <v>232</v>
      </c>
      <c r="O27" s="93"/>
      <c r="P27" s="83">
        <v>242.37347367621567</v>
      </c>
      <c r="Q27" s="93"/>
      <c r="R27" s="83">
        <v>11.150739708596893</v>
      </c>
      <c r="S27" s="93"/>
      <c r="T27" s="83">
        <v>34.574237397400559</v>
      </c>
      <c r="U27" s="93"/>
      <c r="V27" s="83">
        <v>0.79819972192258482</v>
      </c>
      <c r="W27" s="93"/>
    </row>
    <row r="28" spans="1:23">
      <c r="N28" s="96" t="s">
        <v>233</v>
      </c>
    </row>
    <row r="29" spans="1:23">
      <c r="N29" s="95" t="s">
        <v>234</v>
      </c>
    </row>
    <row r="30" spans="1:23" s="90" customFormat="1" ht="14.45">
      <c r="A30" s="89" t="s">
        <v>208</v>
      </c>
      <c r="B30" s="90" t="s">
        <v>211</v>
      </c>
      <c r="C30" s="95" t="s">
        <v>213</v>
      </c>
      <c r="D30" s="95" t="s">
        <v>215</v>
      </c>
      <c r="E30" s="95" t="s">
        <v>217</v>
      </c>
      <c r="F30" s="95" t="s">
        <v>219</v>
      </c>
      <c r="G30" s="95" t="s">
        <v>235</v>
      </c>
      <c r="H30" s="90" t="s">
        <v>222</v>
      </c>
      <c r="I30" s="90" t="s">
        <v>224</v>
      </c>
      <c r="J30" s="90" t="s">
        <v>226</v>
      </c>
      <c r="K30" s="90" t="s">
        <v>228</v>
      </c>
      <c r="L30" s="90" t="s">
        <v>230</v>
      </c>
    </row>
    <row r="31" spans="1:23">
      <c r="A31" s="92" t="s">
        <v>9</v>
      </c>
      <c r="C31" s="96">
        <v>1976.3908141016936</v>
      </c>
      <c r="D31" s="96">
        <v>254.63439152394972</v>
      </c>
      <c r="E31" s="96">
        <v>137.64914843504494</v>
      </c>
      <c r="F31" s="96">
        <v>882.31540724332649</v>
      </c>
      <c r="G31" s="96">
        <f>C31+D31+E31+F31+B31</f>
        <v>3250.9897613040148</v>
      </c>
      <c r="H31" s="83">
        <v>22.897647530988237</v>
      </c>
      <c r="I31" s="83">
        <v>20.025831233926464</v>
      </c>
      <c r="J31" s="83">
        <v>5.4245861912408362</v>
      </c>
      <c r="K31" s="83">
        <v>16.803044937420427</v>
      </c>
      <c r="L31" s="83">
        <v>0.75622336128334322</v>
      </c>
    </row>
    <row r="32" spans="1:23">
      <c r="A32" s="92" t="s">
        <v>10</v>
      </c>
      <c r="B32" s="83">
        <v>0</v>
      </c>
      <c r="C32" s="96">
        <v>2431.5555053625912</v>
      </c>
      <c r="D32" s="96">
        <v>393.81123770673292</v>
      </c>
      <c r="E32" s="96">
        <v>230.39445960763464</v>
      </c>
      <c r="F32" s="96">
        <v>879.07085534720136</v>
      </c>
      <c r="G32" s="96">
        <f t="shared" ref="G32:G43" si="0">C32+D32+E32+F32+B32</f>
        <v>3934.8320580241598</v>
      </c>
      <c r="H32" s="83">
        <v>19.803721455101034</v>
      </c>
      <c r="I32" s="83">
        <v>10.89730175703637</v>
      </c>
      <c r="J32" s="83">
        <v>0</v>
      </c>
      <c r="K32" s="83">
        <v>15.8104387799163</v>
      </c>
      <c r="L32" s="83">
        <v>0.68226089019528913</v>
      </c>
    </row>
    <row r="33" spans="1:12">
      <c r="A33" s="92" t="s">
        <v>11</v>
      </c>
      <c r="B33" s="83">
        <v>1.4431138509420713</v>
      </c>
      <c r="C33" s="96">
        <v>2470.8659905221903</v>
      </c>
      <c r="D33" s="96">
        <v>496.99447395938193</v>
      </c>
      <c r="E33" s="96">
        <v>326.5206550190797</v>
      </c>
      <c r="F33" s="96">
        <v>868.52398299454353</v>
      </c>
      <c r="G33" s="96">
        <f t="shared" si="0"/>
        <v>4164.3482163461367</v>
      </c>
      <c r="H33" s="83">
        <v>20.013113814553961</v>
      </c>
      <c r="I33" s="83">
        <v>11.264209347988841</v>
      </c>
      <c r="J33" s="83">
        <v>0</v>
      </c>
      <c r="K33" s="83">
        <v>15.815465410561039</v>
      </c>
      <c r="L33" s="83">
        <v>0.74128744268181035</v>
      </c>
    </row>
    <row r="34" spans="1:12">
      <c r="A34" s="92" t="s">
        <v>12</v>
      </c>
      <c r="C34" s="96">
        <v>2056.8797048358192</v>
      </c>
      <c r="D34" s="96">
        <v>355.140135370949</v>
      </c>
      <c r="E34" s="96">
        <v>213.02722066442072</v>
      </c>
      <c r="F34" s="96">
        <v>671.64686873215192</v>
      </c>
      <c r="G34" s="96">
        <f t="shared" si="0"/>
        <v>3296.6939296033406</v>
      </c>
      <c r="H34" s="83">
        <v>21.678244967115305</v>
      </c>
      <c r="I34" s="83">
        <v>13.527333324941363</v>
      </c>
      <c r="J34" s="83">
        <v>2.6873833670161011</v>
      </c>
      <c r="K34" s="83">
        <v>18.860518017847426</v>
      </c>
      <c r="L34" s="83">
        <v>0.86343308826504117</v>
      </c>
    </row>
    <row r="35" spans="1:12">
      <c r="A35" s="92" t="s">
        <v>13</v>
      </c>
      <c r="B35" s="83">
        <v>1.195103899542717</v>
      </c>
      <c r="C35" s="96">
        <v>2495.6790320412138</v>
      </c>
      <c r="D35" s="96">
        <v>422.35156391690771</v>
      </c>
      <c r="E35" s="96">
        <v>245.61507970859191</v>
      </c>
      <c r="F35" s="96">
        <v>1017.185340166355</v>
      </c>
      <c r="G35" s="96">
        <f t="shared" si="0"/>
        <v>4182.0261197326117</v>
      </c>
      <c r="H35" s="83">
        <v>20.702107056136207</v>
      </c>
      <c r="I35" s="83">
        <v>10.684955205309734</v>
      </c>
      <c r="J35" s="83">
        <v>0</v>
      </c>
      <c r="K35" s="83">
        <v>16.7801773078676</v>
      </c>
      <c r="L35" s="83">
        <v>0.76899554995501818</v>
      </c>
    </row>
    <row r="36" spans="1:12">
      <c r="A36" s="92" t="s">
        <v>14</v>
      </c>
      <c r="B36" s="83">
        <v>0.41131227287948863</v>
      </c>
      <c r="C36" s="96">
        <v>1432.545495138942</v>
      </c>
      <c r="D36" s="96">
        <v>301.41503774894306</v>
      </c>
      <c r="E36" s="96">
        <v>180.52752371980114</v>
      </c>
      <c r="F36" s="96">
        <v>410.20414917572054</v>
      </c>
      <c r="G36" s="96">
        <f t="shared" si="0"/>
        <v>2325.1035180562862</v>
      </c>
      <c r="H36" s="83">
        <v>22.550071610793395</v>
      </c>
      <c r="I36" s="83">
        <v>18.337886000350359</v>
      </c>
      <c r="J36" s="83">
        <v>5.3891194824184989</v>
      </c>
      <c r="K36" s="83">
        <v>17.971276377826669</v>
      </c>
      <c r="L36" s="83">
        <v>0.63719348679910792</v>
      </c>
    </row>
    <row r="37" spans="1:12">
      <c r="A37" s="92" t="s">
        <v>15</v>
      </c>
      <c r="B37" s="83">
        <v>0.40855266115004846</v>
      </c>
      <c r="C37" s="96">
        <v>1335.3689731295667</v>
      </c>
      <c r="D37" s="96">
        <v>309.74019981735273</v>
      </c>
      <c r="E37" s="96">
        <v>193.22690078402258</v>
      </c>
      <c r="F37" s="96">
        <v>362.96689764885753</v>
      </c>
      <c r="G37" s="96">
        <f t="shared" si="0"/>
        <v>2201.7115240409498</v>
      </c>
      <c r="H37" s="83">
        <v>40.51508924451862</v>
      </c>
      <c r="I37" s="83">
        <v>61.579514926964812</v>
      </c>
      <c r="J37" s="83">
        <v>6.1518316487316174</v>
      </c>
      <c r="K37" s="83">
        <v>19.699446153010982</v>
      </c>
      <c r="L37" s="83">
        <v>0.62841492536939914</v>
      </c>
    </row>
    <row r="38" spans="1:12">
      <c r="A38" s="92" t="s">
        <v>16</v>
      </c>
      <c r="B38" s="83">
        <v>0</v>
      </c>
      <c r="C38" s="96">
        <v>815.1334280656356</v>
      </c>
      <c r="D38" s="96">
        <v>190.93853895745099</v>
      </c>
      <c r="E38" s="96">
        <v>140.27329138714265</v>
      </c>
      <c r="F38" s="96">
        <v>181.76808830273629</v>
      </c>
      <c r="G38" s="96">
        <f t="shared" si="0"/>
        <v>1328.1133467129655</v>
      </c>
      <c r="H38" s="83">
        <v>87.311202282844391</v>
      </c>
      <c r="I38" s="83">
        <v>196.07961397930876</v>
      </c>
      <c r="J38" s="83">
        <v>8.6093543021803214</v>
      </c>
      <c r="K38" s="83">
        <v>21.387497279857001</v>
      </c>
      <c r="L38" s="83">
        <v>0.6171140730500273</v>
      </c>
    </row>
    <row r="39" spans="1:12">
      <c r="A39" s="92" t="s">
        <v>17</v>
      </c>
      <c r="B39" s="83">
        <v>0</v>
      </c>
      <c r="C39" s="96">
        <v>611.1357930188758</v>
      </c>
      <c r="D39" s="96">
        <v>115.53406894498113</v>
      </c>
      <c r="E39" s="96">
        <v>116.47941661568458</v>
      </c>
      <c r="F39" s="96">
        <v>114.24186173921619</v>
      </c>
      <c r="G39" s="96">
        <f t="shared" si="0"/>
        <v>957.39114031875772</v>
      </c>
      <c r="H39" s="83">
        <v>157.65163856200974</v>
      </c>
      <c r="I39" s="83">
        <v>370.96546027676698</v>
      </c>
      <c r="J39" s="83">
        <v>12.964642422012162</v>
      </c>
      <c r="K39" s="83">
        <v>25.309449142998893</v>
      </c>
      <c r="L39" s="83">
        <v>0.62264085749943554</v>
      </c>
    </row>
    <row r="40" spans="1:12">
      <c r="A40" s="92" t="s">
        <v>18</v>
      </c>
      <c r="B40" s="83">
        <v>0.84880796353199339</v>
      </c>
      <c r="C40" s="96">
        <v>1512.9521683453061</v>
      </c>
      <c r="D40" s="96">
        <v>312.96992058006731</v>
      </c>
      <c r="E40" s="96">
        <v>187.68654354922589</v>
      </c>
      <c r="F40" s="96">
        <v>440.98595829072485</v>
      </c>
      <c r="G40" s="96">
        <f t="shared" si="0"/>
        <v>2455.4433987288562</v>
      </c>
      <c r="H40" s="83">
        <v>33.25564090024983</v>
      </c>
      <c r="I40" s="83">
        <v>33.424710084625943</v>
      </c>
      <c r="J40" s="83">
        <v>5.7163858691771141</v>
      </c>
      <c r="K40" s="83">
        <v>21.380441117590443</v>
      </c>
      <c r="L40" s="83">
        <v>0.77057816384657141</v>
      </c>
    </row>
    <row r="41" spans="1:12">
      <c r="A41" s="92" t="s">
        <v>19</v>
      </c>
      <c r="B41" s="83">
        <v>0.56696573225171065</v>
      </c>
      <c r="C41" s="96">
        <v>1491.0423079365378</v>
      </c>
      <c r="D41" s="96">
        <v>331.06900058471479</v>
      </c>
      <c r="E41" s="96">
        <v>212.80674678401806</v>
      </c>
      <c r="F41" s="96">
        <v>408.58745119266189</v>
      </c>
      <c r="G41" s="96">
        <f t="shared" si="0"/>
        <v>2444.0724722301843</v>
      </c>
      <c r="H41" s="83">
        <v>45.776457188198911</v>
      </c>
      <c r="I41" s="83">
        <v>68.834820569144654</v>
      </c>
      <c r="J41" s="83">
        <v>6.4288041072605644</v>
      </c>
      <c r="K41" s="83">
        <v>26.068493969559434</v>
      </c>
      <c r="L41" s="83">
        <v>0.7711469157138483</v>
      </c>
    </row>
    <row r="42" spans="1:12">
      <c r="A42" s="92" t="s">
        <v>20</v>
      </c>
      <c r="B42" s="83">
        <v>0.17200626329624</v>
      </c>
      <c r="C42" s="96">
        <v>1136.3792968019209</v>
      </c>
      <c r="D42" s="96">
        <v>245.67988970347551</v>
      </c>
      <c r="E42" s="96">
        <v>182.95115018261868</v>
      </c>
      <c r="F42" s="96">
        <v>270.31995559634595</v>
      </c>
      <c r="G42" s="96">
        <f t="shared" si="0"/>
        <v>1835.5022985476571</v>
      </c>
      <c r="H42" s="83">
        <v>78.124497424272633</v>
      </c>
      <c r="I42" s="83">
        <v>157.35474401717818</v>
      </c>
      <c r="J42" s="83">
        <v>8.8767187225333188</v>
      </c>
      <c r="K42" s="83">
        <v>30.75185057975235</v>
      </c>
      <c r="L42" s="83">
        <v>0.81256688865684068</v>
      </c>
    </row>
    <row r="43" spans="1:12">
      <c r="A43" s="92" t="s">
        <v>21</v>
      </c>
      <c r="C43" s="96">
        <v>1049.9171848172664</v>
      </c>
      <c r="D43" s="96">
        <v>192.97559386233866</v>
      </c>
      <c r="E43" s="96">
        <v>181.97285229051792</v>
      </c>
      <c r="F43" s="96">
        <v>202.20436527096382</v>
      </c>
      <c r="G43" s="96">
        <f t="shared" si="0"/>
        <v>1627.0699962410868</v>
      </c>
      <c r="H43" s="83">
        <v>119.01652782012192</v>
      </c>
      <c r="I43" s="83">
        <v>245.47802325748</v>
      </c>
      <c r="J43" s="83">
        <v>11.624410670337825</v>
      </c>
      <c r="K43" s="83">
        <v>39.753680302282518</v>
      </c>
      <c r="L43" s="83">
        <v>0.87207378088105836</v>
      </c>
    </row>
    <row r="74" spans="1:7">
      <c r="G74" s="83" t="s">
        <v>236</v>
      </c>
    </row>
    <row r="78" spans="1:7">
      <c r="A78" s="89" t="s">
        <v>208</v>
      </c>
      <c r="B78" s="95" t="s">
        <v>213</v>
      </c>
      <c r="C78" s="95" t="s">
        <v>215</v>
      </c>
      <c r="D78" s="95" t="s">
        <v>216</v>
      </c>
      <c r="E78" s="95" t="s">
        <v>219</v>
      </c>
      <c r="F78" s="95" t="s">
        <v>235</v>
      </c>
    </row>
    <row r="79" spans="1:7">
      <c r="A79" s="92" t="s">
        <v>9</v>
      </c>
      <c r="B79" s="96">
        <v>1976.3908141016936</v>
      </c>
      <c r="C79" s="96">
        <v>254.63439152394972</v>
      </c>
      <c r="D79" s="96">
        <v>137.64914843504494</v>
      </c>
      <c r="E79" s="96">
        <v>882.31540724332649</v>
      </c>
      <c r="F79" s="96">
        <f t="shared" ref="F79:F91" si="1">B79+C79+D79+E79</f>
        <v>3250.9897613040148</v>
      </c>
    </row>
    <row r="80" spans="1:7">
      <c r="A80" s="92" t="s">
        <v>10</v>
      </c>
      <c r="B80" s="96">
        <v>2431.5555053625912</v>
      </c>
      <c r="C80" s="96">
        <v>393.81123770673292</v>
      </c>
      <c r="D80" s="96">
        <v>230.39445960763464</v>
      </c>
      <c r="E80" s="96">
        <v>879.07085534720136</v>
      </c>
      <c r="F80" s="96">
        <f t="shared" si="1"/>
        <v>3934.8320580241598</v>
      </c>
    </row>
    <row r="81" spans="1:11">
      <c r="A81" s="92" t="s">
        <v>11</v>
      </c>
      <c r="B81" s="96">
        <v>2470.8659905221903</v>
      </c>
      <c r="C81" s="96">
        <v>496.99447395938193</v>
      </c>
      <c r="D81" s="96">
        <v>326.5206550190797</v>
      </c>
      <c r="E81" s="96">
        <v>868.52398299454353</v>
      </c>
      <c r="F81" s="96">
        <f t="shared" si="1"/>
        <v>4162.905102495195</v>
      </c>
    </row>
    <row r="82" spans="1:11">
      <c r="A82" s="92" t="s">
        <v>12</v>
      </c>
      <c r="B82" s="96">
        <v>2056.8797048358192</v>
      </c>
      <c r="C82" s="96">
        <v>355.140135370949</v>
      </c>
      <c r="D82" s="96">
        <v>213.02722066442072</v>
      </c>
      <c r="E82" s="96">
        <v>671.64686873215192</v>
      </c>
      <c r="F82" s="96">
        <f t="shared" si="1"/>
        <v>3296.6939296033406</v>
      </c>
    </row>
    <row r="83" spans="1:11">
      <c r="A83" s="92" t="s">
        <v>13</v>
      </c>
      <c r="B83" s="96">
        <v>2495.6790320412138</v>
      </c>
      <c r="C83" s="96">
        <v>422.35156391690771</v>
      </c>
      <c r="D83" s="96">
        <v>245.61507970859191</v>
      </c>
      <c r="E83" s="96">
        <v>1017.185340166355</v>
      </c>
      <c r="F83" s="96">
        <f t="shared" si="1"/>
        <v>4180.8310158330687</v>
      </c>
    </row>
    <row r="84" spans="1:11">
      <c r="A84" s="92" t="s">
        <v>14</v>
      </c>
      <c r="B84" s="96">
        <v>1432.545495138942</v>
      </c>
      <c r="C84" s="96">
        <v>301.41503774894306</v>
      </c>
      <c r="D84" s="96">
        <v>180.52752371980114</v>
      </c>
      <c r="E84" s="96">
        <v>410.20414917572054</v>
      </c>
      <c r="F84" s="96">
        <f t="shared" si="1"/>
        <v>2324.6922057834067</v>
      </c>
    </row>
    <row r="85" spans="1:11">
      <c r="A85" s="92" t="s">
        <v>15</v>
      </c>
      <c r="B85" s="96">
        <v>1335.3689731295667</v>
      </c>
      <c r="C85" s="96">
        <v>309.74019981735273</v>
      </c>
      <c r="D85" s="96">
        <v>193.22690078402258</v>
      </c>
      <c r="E85" s="96">
        <v>362.96689764885753</v>
      </c>
      <c r="F85" s="96">
        <f t="shared" si="1"/>
        <v>2201.3029713797996</v>
      </c>
    </row>
    <row r="86" spans="1:11">
      <c r="A86" s="92" t="s">
        <v>16</v>
      </c>
      <c r="B86" s="96">
        <v>815.1334280656356</v>
      </c>
      <c r="C86" s="96">
        <v>190.93853895745099</v>
      </c>
      <c r="D86" s="96">
        <v>140.27329138714265</v>
      </c>
      <c r="E86" s="96">
        <v>181.76808830273629</v>
      </c>
      <c r="F86" s="96">
        <f t="shared" si="1"/>
        <v>1328.1133467129655</v>
      </c>
    </row>
    <row r="87" spans="1:11">
      <c r="A87" s="92" t="s">
        <v>17</v>
      </c>
      <c r="B87" s="96">
        <v>611.1357930188758</v>
      </c>
      <c r="C87" s="96">
        <v>115.53406894498113</v>
      </c>
      <c r="D87" s="96">
        <v>116.47941661568458</v>
      </c>
      <c r="E87" s="96">
        <v>114.24186173921619</v>
      </c>
      <c r="F87" s="96">
        <f t="shared" si="1"/>
        <v>957.39114031875772</v>
      </c>
    </row>
    <row r="88" spans="1:11">
      <c r="A88" s="92" t="s">
        <v>18</v>
      </c>
      <c r="B88" s="96">
        <v>1512.9521683453061</v>
      </c>
      <c r="C88" s="96">
        <v>312.96992058006731</v>
      </c>
      <c r="D88" s="96">
        <v>187.68654354922589</v>
      </c>
      <c r="E88" s="96">
        <v>440.98595829072485</v>
      </c>
      <c r="F88" s="96">
        <f t="shared" si="1"/>
        <v>2454.594590765324</v>
      </c>
    </row>
    <row r="89" spans="1:11">
      <c r="A89" s="92" t="s">
        <v>19</v>
      </c>
      <c r="B89" s="96">
        <v>1491.0423079365378</v>
      </c>
      <c r="C89" s="96">
        <v>331.06900058471479</v>
      </c>
      <c r="D89" s="96">
        <v>212.80674678401806</v>
      </c>
      <c r="E89" s="96">
        <v>408.58745119266189</v>
      </c>
      <c r="F89" s="96">
        <f t="shared" si="1"/>
        <v>2443.5055064979324</v>
      </c>
    </row>
    <row r="90" spans="1:11">
      <c r="A90" s="92" t="s">
        <v>20</v>
      </c>
      <c r="B90" s="96">
        <v>1136.3792968019209</v>
      </c>
      <c r="C90" s="96">
        <v>245.67988970347551</v>
      </c>
      <c r="D90" s="96">
        <v>182.95115018261868</v>
      </c>
      <c r="E90" s="96">
        <v>270.31995559634595</v>
      </c>
      <c r="F90" s="96">
        <f t="shared" si="1"/>
        <v>1835.3302922843609</v>
      </c>
    </row>
    <row r="91" spans="1:11">
      <c r="A91" s="92" t="s">
        <v>21</v>
      </c>
      <c r="B91" s="96">
        <v>1049.9171848172664</v>
      </c>
      <c r="C91" s="96">
        <v>192.97559386233866</v>
      </c>
      <c r="D91" s="96">
        <v>181.97285229051792</v>
      </c>
      <c r="E91" s="96">
        <v>202.20436527096382</v>
      </c>
      <c r="F91" s="96">
        <f t="shared" si="1"/>
        <v>1627.0699962410868</v>
      </c>
    </row>
    <row r="95" spans="1:11">
      <c r="A95" s="97" t="s">
        <v>208</v>
      </c>
      <c r="B95" s="85" t="s">
        <v>61</v>
      </c>
      <c r="C95" s="98" t="s">
        <v>212</v>
      </c>
      <c r="D95" s="99" t="s">
        <v>237</v>
      </c>
      <c r="E95" s="98" t="s">
        <v>238</v>
      </c>
      <c r="F95" s="99" t="s">
        <v>239</v>
      </c>
      <c r="G95" s="98" t="s">
        <v>217</v>
      </c>
      <c r="H95" s="99" t="s">
        <v>240</v>
      </c>
      <c r="I95" s="98" t="s">
        <v>241</v>
      </c>
      <c r="J95" s="99" t="s">
        <v>242</v>
      </c>
      <c r="K95" s="99" t="s">
        <v>235</v>
      </c>
    </row>
    <row r="96" spans="1:11">
      <c r="A96" s="100" t="s">
        <v>9</v>
      </c>
      <c r="B96" s="87">
        <v>0.25479248625475714</v>
      </c>
      <c r="C96" s="101">
        <v>1976.3908141016936</v>
      </c>
      <c r="D96" s="87">
        <f>C96/B96</f>
        <v>7756.8645887209441</v>
      </c>
      <c r="E96" s="101">
        <v>254.63439152394972</v>
      </c>
      <c r="F96" s="87">
        <f>E96/B96</f>
        <v>999.37951572618454</v>
      </c>
      <c r="G96" s="101">
        <v>137.64914843504494</v>
      </c>
      <c r="H96" s="87">
        <f>G96/B96</f>
        <v>540.2402184553232</v>
      </c>
      <c r="I96" s="101">
        <v>882.31540724332649</v>
      </c>
      <c r="J96" s="87">
        <f>I96/B96</f>
        <v>3462.8784396771161</v>
      </c>
      <c r="K96" s="87">
        <f>D96+F96+H96+J96</f>
        <v>12759.362762579567</v>
      </c>
    </row>
    <row r="97" spans="1:11">
      <c r="A97" s="100" t="s">
        <v>10</v>
      </c>
      <c r="B97" s="87">
        <v>0.2665647596489939</v>
      </c>
      <c r="C97" s="101">
        <v>2431.5555053625912</v>
      </c>
      <c r="D97" s="87">
        <f t="shared" ref="D97:D108" si="2">C97/B97</f>
        <v>9121.8190602704017</v>
      </c>
      <c r="E97" s="101">
        <v>393.81123770673292</v>
      </c>
      <c r="F97" s="87">
        <f t="shared" ref="F97:F108" si="3">E97/B97</f>
        <v>1477.356715213572</v>
      </c>
      <c r="G97" s="101">
        <v>230.39445960763464</v>
      </c>
      <c r="H97" s="87">
        <f t="shared" ref="H97:H108" si="4">G97/B97</f>
        <v>864.30952054957515</v>
      </c>
      <c r="I97" s="101">
        <v>879.07085534720136</v>
      </c>
      <c r="J97" s="87">
        <f t="shared" ref="J97:J108" si="5">I97/B97</f>
        <v>3297.7759569747359</v>
      </c>
      <c r="K97" s="87">
        <f t="shared" ref="K97:K108" si="6">D97+F97+H97+J97</f>
        <v>14761.261253008286</v>
      </c>
    </row>
    <row r="98" spans="1:11">
      <c r="A98" s="100" t="s">
        <v>11</v>
      </c>
      <c r="B98" s="87">
        <v>0.24876220922669601</v>
      </c>
      <c r="C98" s="101">
        <v>2470.8659905221903</v>
      </c>
      <c r="D98" s="87">
        <f t="shared" si="2"/>
        <v>9932.6420930379336</v>
      </c>
      <c r="E98" s="101">
        <v>496.99447395938193</v>
      </c>
      <c r="F98" s="87">
        <f t="shared" si="3"/>
        <v>1997.8696744346439</v>
      </c>
      <c r="G98" s="101">
        <v>326.5206550190797</v>
      </c>
      <c r="H98" s="87">
        <f t="shared" si="4"/>
        <v>1312.5814247835478</v>
      </c>
      <c r="I98" s="101">
        <v>868.52398299454353</v>
      </c>
      <c r="J98" s="87">
        <f t="shared" si="5"/>
        <v>3491.3823353412217</v>
      </c>
      <c r="K98" s="87">
        <f t="shared" si="6"/>
        <v>16734.475527597348</v>
      </c>
    </row>
    <row r="99" spans="1:11">
      <c r="A99" s="100" t="s">
        <v>12</v>
      </c>
      <c r="B99" s="87">
        <v>0.24045908002074934</v>
      </c>
      <c r="C99" s="101">
        <v>2056.8797048358192</v>
      </c>
      <c r="D99" s="87">
        <f t="shared" si="2"/>
        <v>8553.9697842074838</v>
      </c>
      <c r="E99" s="101">
        <v>355.140135370949</v>
      </c>
      <c r="F99" s="87">
        <f t="shared" si="3"/>
        <v>1476.9254516831045</v>
      </c>
      <c r="G99" s="101">
        <v>213.02722066442072</v>
      </c>
      <c r="H99" s="87">
        <f t="shared" si="4"/>
        <v>885.91880433892743</v>
      </c>
      <c r="I99" s="101">
        <v>671.64686873215192</v>
      </c>
      <c r="J99" s="87">
        <f t="shared" si="5"/>
        <v>2793.1857207230237</v>
      </c>
      <c r="K99" s="87">
        <f t="shared" si="6"/>
        <v>13709.99976095254</v>
      </c>
    </row>
    <row r="100" spans="1:11">
      <c r="A100" s="100" t="s">
        <v>13</v>
      </c>
      <c r="B100" s="87">
        <v>0.22939153077564695</v>
      </c>
      <c r="C100" s="101">
        <v>2495.6790320412138</v>
      </c>
      <c r="D100" s="87">
        <f t="shared" si="2"/>
        <v>10879.560477243933</v>
      </c>
      <c r="E100" s="101">
        <v>422.35156391690771</v>
      </c>
      <c r="F100" s="87">
        <f t="shared" si="3"/>
        <v>1841.182028337317</v>
      </c>
      <c r="G100" s="101">
        <v>245.61507970859191</v>
      </c>
      <c r="H100" s="87">
        <f t="shared" si="4"/>
        <v>1070.7242716332546</v>
      </c>
      <c r="I100" s="101">
        <v>1017.185340166355</v>
      </c>
      <c r="J100" s="87">
        <f t="shared" si="5"/>
        <v>4434.2759156230504</v>
      </c>
      <c r="K100" s="87">
        <f t="shared" si="6"/>
        <v>18225.742692837553</v>
      </c>
    </row>
    <row r="101" spans="1:11">
      <c r="A101" s="100" t="s">
        <v>14</v>
      </c>
      <c r="B101" s="87">
        <v>0.20534708516324557</v>
      </c>
      <c r="C101" s="101">
        <v>1432.545495138942</v>
      </c>
      <c r="D101" s="87">
        <f t="shared" si="2"/>
        <v>6976.2153867443785</v>
      </c>
      <c r="E101" s="101">
        <v>301.41503774894306</v>
      </c>
      <c r="F101" s="87">
        <f t="shared" si="3"/>
        <v>1467.8320732399293</v>
      </c>
      <c r="G101" s="101">
        <v>180.52752371980114</v>
      </c>
      <c r="H101" s="87">
        <f t="shared" si="4"/>
        <v>879.13360725956477</v>
      </c>
      <c r="I101" s="101">
        <v>410.20414917572054</v>
      </c>
      <c r="J101" s="87">
        <f t="shared" si="5"/>
        <v>1997.6136931752353</v>
      </c>
      <c r="K101" s="87">
        <f t="shared" si="6"/>
        <v>11320.794760419107</v>
      </c>
    </row>
    <row r="102" spans="1:11">
      <c r="A102" s="100" t="s">
        <v>15</v>
      </c>
      <c r="B102" s="87">
        <v>0.19496614247882196</v>
      </c>
      <c r="C102" s="101">
        <v>1335.3689731295667</v>
      </c>
      <c r="D102" s="87">
        <f t="shared" si="2"/>
        <v>6849.235237213662</v>
      </c>
      <c r="E102" s="101">
        <v>309.74019981735273</v>
      </c>
      <c r="F102" s="87">
        <f t="shared" si="3"/>
        <v>1588.6871221807037</v>
      </c>
      <c r="G102" s="101">
        <v>193.22690078402258</v>
      </c>
      <c r="H102" s="87">
        <f t="shared" si="4"/>
        <v>991.07926292900675</v>
      </c>
      <c r="I102" s="101">
        <v>362.96689764885753</v>
      </c>
      <c r="J102" s="87">
        <f t="shared" si="5"/>
        <v>1861.6919483252561</v>
      </c>
      <c r="K102" s="87">
        <f t="shared" si="6"/>
        <v>11290.693570648629</v>
      </c>
    </row>
    <row r="103" spans="1:11">
      <c r="A103" s="100" t="s">
        <v>16</v>
      </c>
      <c r="B103" s="87">
        <v>0.16855272679079111</v>
      </c>
      <c r="C103" s="101">
        <v>815.1334280656356</v>
      </c>
      <c r="D103" s="87">
        <f t="shared" si="2"/>
        <v>4836.0738125428561</v>
      </c>
      <c r="E103" s="101">
        <v>190.93853895745099</v>
      </c>
      <c r="F103" s="87">
        <f t="shared" si="3"/>
        <v>1132.8119253415894</v>
      </c>
      <c r="G103" s="101">
        <v>140.27329138714265</v>
      </c>
      <c r="H103" s="87">
        <f t="shared" si="4"/>
        <v>832.22202368313447</v>
      </c>
      <c r="I103" s="101">
        <v>181.76808830273629</v>
      </c>
      <c r="J103" s="87">
        <f t="shared" si="5"/>
        <v>1078.4049108167094</v>
      </c>
      <c r="K103" s="87">
        <f t="shared" si="6"/>
        <v>7879.5126723842895</v>
      </c>
    </row>
    <row r="104" spans="1:11">
      <c r="A104" s="100" t="s">
        <v>17</v>
      </c>
      <c r="B104" s="87">
        <v>0.15019812620948753</v>
      </c>
      <c r="C104" s="101">
        <v>611.1357930188758</v>
      </c>
      <c r="D104" s="87">
        <f t="shared" si="2"/>
        <v>4068.8642957269617</v>
      </c>
      <c r="E104" s="101">
        <v>115.53406894498113</v>
      </c>
      <c r="F104" s="87">
        <f t="shared" si="3"/>
        <v>769.21112040932519</v>
      </c>
      <c r="G104" s="101">
        <v>116.47941661568458</v>
      </c>
      <c r="H104" s="87">
        <f t="shared" si="4"/>
        <v>775.50512483242255</v>
      </c>
      <c r="I104" s="101">
        <v>114.24186173921619</v>
      </c>
      <c r="J104" s="87">
        <f t="shared" si="5"/>
        <v>760.60776936643242</v>
      </c>
      <c r="K104" s="87">
        <f t="shared" si="6"/>
        <v>6374.1883103351411</v>
      </c>
    </row>
    <row r="105" spans="1:11">
      <c r="A105" s="100" t="s">
        <v>18</v>
      </c>
      <c r="B105" s="79">
        <v>0.22087830294008207</v>
      </c>
      <c r="C105" s="101">
        <v>1512.9521683453061</v>
      </c>
      <c r="D105" s="87">
        <f t="shared" si="2"/>
        <v>6849.7093114470663</v>
      </c>
      <c r="E105" s="101">
        <v>312.96992058006731</v>
      </c>
      <c r="F105" s="87">
        <f t="shared" si="3"/>
        <v>1416.9337432159059</v>
      </c>
      <c r="G105" s="101">
        <v>187.68654354922589</v>
      </c>
      <c r="H105" s="87">
        <f t="shared" si="4"/>
        <v>849.72829404678942</v>
      </c>
      <c r="I105" s="101">
        <v>440.98595829072485</v>
      </c>
      <c r="J105" s="87">
        <f t="shared" si="5"/>
        <v>1996.5109855554788</v>
      </c>
      <c r="K105" s="87">
        <f t="shared" si="6"/>
        <v>11112.882334265241</v>
      </c>
    </row>
    <row r="106" spans="1:11">
      <c r="A106" s="100" t="s">
        <v>19</v>
      </c>
      <c r="B106" s="79">
        <v>0.22210840007450242</v>
      </c>
      <c r="C106" s="101">
        <v>1491.0423079365378</v>
      </c>
      <c r="D106" s="87">
        <f t="shared" si="2"/>
        <v>6713.1288480597468</v>
      </c>
      <c r="E106" s="101">
        <v>331.06900058471479</v>
      </c>
      <c r="F106" s="87">
        <f t="shared" si="3"/>
        <v>1490.5739741210302</v>
      </c>
      <c r="G106" s="101">
        <v>212.80674678401806</v>
      </c>
      <c r="H106" s="87">
        <f t="shared" si="4"/>
        <v>958.12110983932041</v>
      </c>
      <c r="I106" s="101">
        <v>408.58745119266189</v>
      </c>
      <c r="J106" s="87">
        <f t="shared" si="5"/>
        <v>1839.585765579367</v>
      </c>
      <c r="K106" s="87">
        <f t="shared" si="6"/>
        <v>11001.409697599465</v>
      </c>
    </row>
    <row r="107" spans="1:11">
      <c r="A107" s="100" t="s">
        <v>20</v>
      </c>
      <c r="B107" s="79">
        <v>0.21865101546487486</v>
      </c>
      <c r="C107" s="101">
        <v>1136.3792968019209</v>
      </c>
      <c r="D107" s="87">
        <f t="shared" si="2"/>
        <v>5197.2285350967159</v>
      </c>
      <c r="E107" s="101">
        <v>245.67988970347551</v>
      </c>
      <c r="F107" s="87">
        <f t="shared" si="3"/>
        <v>1123.6165045066653</v>
      </c>
      <c r="G107" s="101">
        <v>182.95115018261868</v>
      </c>
      <c r="H107" s="87">
        <f t="shared" si="4"/>
        <v>836.72673458042459</v>
      </c>
      <c r="I107" s="101">
        <v>270.31995559634595</v>
      </c>
      <c r="J107" s="87">
        <f t="shared" si="5"/>
        <v>1236.3077986242943</v>
      </c>
      <c r="K107" s="87">
        <f t="shared" si="6"/>
        <v>8393.8795728081004</v>
      </c>
    </row>
    <row r="108" spans="1:11">
      <c r="A108" s="100" t="s">
        <v>21</v>
      </c>
      <c r="B108" s="79">
        <v>0.21080831408776088</v>
      </c>
      <c r="C108" s="101">
        <v>1049.9171848172664</v>
      </c>
      <c r="D108" s="87">
        <f t="shared" si="2"/>
        <v>4980.435374954799</v>
      </c>
      <c r="E108" s="101">
        <v>192.97559386233866</v>
      </c>
      <c r="F108" s="87">
        <f t="shared" si="3"/>
        <v>915.40788937765353</v>
      </c>
      <c r="G108" s="101">
        <v>181.97285229051792</v>
      </c>
      <c r="H108" s="87">
        <f t="shared" si="4"/>
        <v>863.21477916075662</v>
      </c>
      <c r="I108" s="101">
        <v>202.20436527096382</v>
      </c>
      <c r="J108" s="87">
        <f t="shared" si="5"/>
        <v>959.18591325949706</v>
      </c>
      <c r="K108" s="87">
        <f t="shared" si="6"/>
        <v>7718.2439567527063</v>
      </c>
    </row>
    <row r="112" spans="1:11">
      <c r="A112" s="97" t="s">
        <v>208</v>
      </c>
      <c r="B112" s="99" t="s">
        <v>237</v>
      </c>
      <c r="C112" s="99" t="s">
        <v>239</v>
      </c>
      <c r="D112" s="99" t="s">
        <v>240</v>
      </c>
      <c r="E112" s="99" t="s">
        <v>242</v>
      </c>
      <c r="F112" s="99" t="s">
        <v>235</v>
      </c>
    </row>
    <row r="113" spans="1:6">
      <c r="A113" s="100" t="s">
        <v>9</v>
      </c>
      <c r="B113" s="87">
        <v>7756.8645887209441</v>
      </c>
      <c r="C113" s="87">
        <v>999.37951572618454</v>
      </c>
      <c r="D113" s="87">
        <v>540.2402184553232</v>
      </c>
      <c r="E113" s="87">
        <v>3462.8784396771161</v>
      </c>
      <c r="F113" s="87">
        <f>B113+C113+D113+E113</f>
        <v>12759.362762579567</v>
      </c>
    </row>
    <row r="114" spans="1:6">
      <c r="A114" s="100" t="s">
        <v>10</v>
      </c>
      <c r="B114" s="87">
        <v>9121.8190602704017</v>
      </c>
      <c r="C114" s="87">
        <v>1477.356715213572</v>
      </c>
      <c r="D114" s="87">
        <v>864.30952054957515</v>
      </c>
      <c r="E114" s="87">
        <v>3297.7759569747359</v>
      </c>
      <c r="F114" s="87">
        <f t="shared" ref="F114:F125" si="7">B114+C114+D114+E114</f>
        <v>14761.261253008286</v>
      </c>
    </row>
    <row r="115" spans="1:6">
      <c r="A115" s="100" t="s">
        <v>11</v>
      </c>
      <c r="B115" s="87">
        <v>9932.6420930379336</v>
      </c>
      <c r="C115" s="87">
        <v>1997.8696744346439</v>
      </c>
      <c r="D115" s="87">
        <v>1312.5814247835478</v>
      </c>
      <c r="E115" s="87">
        <v>3491.3823353412217</v>
      </c>
      <c r="F115" s="87">
        <f t="shared" si="7"/>
        <v>16734.475527597348</v>
      </c>
    </row>
    <row r="116" spans="1:6">
      <c r="A116" s="100" t="s">
        <v>12</v>
      </c>
      <c r="B116" s="87">
        <v>8553.9697842074838</v>
      </c>
      <c r="C116" s="87">
        <v>1476.9254516831045</v>
      </c>
      <c r="D116" s="87">
        <v>885.91880433892743</v>
      </c>
      <c r="E116" s="87">
        <v>2793.1857207230237</v>
      </c>
      <c r="F116" s="87">
        <f t="shared" si="7"/>
        <v>13709.99976095254</v>
      </c>
    </row>
    <row r="117" spans="1:6">
      <c r="A117" s="100" t="s">
        <v>13</v>
      </c>
      <c r="B117" s="87">
        <v>10879.560477243933</v>
      </c>
      <c r="C117" s="87">
        <v>1841.182028337317</v>
      </c>
      <c r="D117" s="87">
        <v>1070.7242716332546</v>
      </c>
      <c r="E117" s="87">
        <v>4434.2759156230504</v>
      </c>
      <c r="F117" s="87">
        <f t="shared" si="7"/>
        <v>18225.742692837553</v>
      </c>
    </row>
    <row r="118" spans="1:6">
      <c r="A118" s="100" t="s">
        <v>14</v>
      </c>
      <c r="B118" s="87">
        <v>6976.2153867443785</v>
      </c>
      <c r="C118" s="87">
        <v>1467.8320732399293</v>
      </c>
      <c r="D118" s="87">
        <v>879.13360725956477</v>
      </c>
      <c r="E118" s="87">
        <v>1997.6136931752353</v>
      </c>
      <c r="F118" s="87">
        <f t="shared" si="7"/>
        <v>11320.794760419107</v>
      </c>
    </row>
    <row r="119" spans="1:6">
      <c r="A119" s="100" t="s">
        <v>15</v>
      </c>
      <c r="B119" s="87">
        <v>6849.235237213662</v>
      </c>
      <c r="C119" s="87">
        <v>1588.6871221807037</v>
      </c>
      <c r="D119" s="87">
        <v>991.07926292900675</v>
      </c>
      <c r="E119" s="87">
        <v>1861.6919483252561</v>
      </c>
      <c r="F119" s="87">
        <f t="shared" si="7"/>
        <v>11290.693570648629</v>
      </c>
    </row>
    <row r="120" spans="1:6">
      <c r="A120" s="100" t="s">
        <v>16</v>
      </c>
      <c r="B120" s="87">
        <v>4836.0738125428561</v>
      </c>
      <c r="C120" s="87">
        <v>1132.8119253415894</v>
      </c>
      <c r="D120" s="87">
        <v>832.22202368313447</v>
      </c>
      <c r="E120" s="87">
        <v>1078.4049108167094</v>
      </c>
      <c r="F120" s="87">
        <f t="shared" si="7"/>
        <v>7879.5126723842895</v>
      </c>
    </row>
    <row r="121" spans="1:6">
      <c r="A121" s="100" t="s">
        <v>17</v>
      </c>
      <c r="B121" s="87">
        <v>4068.8642957269617</v>
      </c>
      <c r="C121" s="87">
        <v>769.21112040932519</v>
      </c>
      <c r="D121" s="87">
        <v>775.50512483242255</v>
      </c>
      <c r="E121" s="87">
        <v>760.60776936643242</v>
      </c>
      <c r="F121" s="87">
        <f t="shared" si="7"/>
        <v>6374.1883103351411</v>
      </c>
    </row>
    <row r="122" spans="1:6">
      <c r="A122" s="100" t="s">
        <v>18</v>
      </c>
      <c r="B122" s="87">
        <v>6849.7093114470663</v>
      </c>
      <c r="C122" s="87">
        <v>1416.9337432159059</v>
      </c>
      <c r="D122" s="87">
        <v>849.72829404678942</v>
      </c>
      <c r="E122" s="87">
        <v>1996.5109855554788</v>
      </c>
      <c r="F122" s="87">
        <f t="shared" si="7"/>
        <v>11112.882334265241</v>
      </c>
    </row>
    <row r="123" spans="1:6">
      <c r="A123" s="100" t="s">
        <v>19</v>
      </c>
      <c r="B123" s="87">
        <v>6713.1288480597468</v>
      </c>
      <c r="C123" s="87">
        <v>1490.5739741210302</v>
      </c>
      <c r="D123" s="87">
        <v>958.12110983932041</v>
      </c>
      <c r="E123" s="87">
        <v>1839.585765579367</v>
      </c>
      <c r="F123" s="87">
        <f t="shared" si="7"/>
        <v>11001.409697599465</v>
      </c>
    </row>
    <row r="124" spans="1:6">
      <c r="A124" s="100" t="s">
        <v>20</v>
      </c>
      <c r="B124" s="87">
        <v>5197.2285350967159</v>
      </c>
      <c r="C124" s="87">
        <v>1123.6165045066653</v>
      </c>
      <c r="D124" s="87">
        <v>836.72673458042459</v>
      </c>
      <c r="E124" s="87">
        <v>1236.3077986242943</v>
      </c>
      <c r="F124" s="87">
        <f t="shared" si="7"/>
        <v>8393.8795728081004</v>
      </c>
    </row>
    <row r="125" spans="1:6">
      <c r="A125" s="100" t="s">
        <v>21</v>
      </c>
      <c r="B125" s="87">
        <v>4980.435374954799</v>
      </c>
      <c r="C125" s="87">
        <v>915.40788937765353</v>
      </c>
      <c r="D125" s="87">
        <v>863.21477916075662</v>
      </c>
      <c r="E125" s="87">
        <v>959.18591325949706</v>
      </c>
      <c r="F125" s="87">
        <f t="shared" si="7"/>
        <v>7718.2439567527063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4C52F-D2ED-4E30-B5CB-D55838D09C49}">
  <dimension ref="A1:AF32"/>
  <sheetViews>
    <sheetView workbookViewId="0">
      <selection activeCell="B21" sqref="B21"/>
    </sheetView>
  </sheetViews>
  <sheetFormatPr defaultRowHeight="14.45"/>
  <cols>
    <col min="1" max="1" width="22.5703125" bestFit="1" customWidth="1"/>
    <col min="2" max="2" width="18" bestFit="1" customWidth="1"/>
    <col min="3" max="3" width="22.28515625" bestFit="1" customWidth="1"/>
    <col min="4" max="4" width="26.42578125" bestFit="1" customWidth="1"/>
    <col min="5" max="5" width="18.28515625" bestFit="1" customWidth="1"/>
    <col min="6" max="6" width="22.28515625" bestFit="1" customWidth="1"/>
    <col min="7" max="7" width="26.42578125" bestFit="1" customWidth="1"/>
    <col min="8" max="8" width="18.28515625" bestFit="1" customWidth="1"/>
    <col min="9" max="9" width="22.28515625" bestFit="1" customWidth="1"/>
    <col min="10" max="10" width="26.42578125" bestFit="1" customWidth="1"/>
    <col min="11" max="11" width="18.28515625" bestFit="1" customWidth="1"/>
    <col min="12" max="12" width="22.28515625" bestFit="1" customWidth="1"/>
    <col min="13" max="13" width="27.42578125" customWidth="1"/>
    <col min="14" max="14" width="18.28515625" bestFit="1" customWidth="1"/>
    <col min="15" max="15" width="22.28515625" bestFit="1" customWidth="1"/>
    <col min="16" max="16" width="26.5703125" customWidth="1"/>
    <col min="17" max="17" width="18.28515625" bestFit="1" customWidth="1"/>
    <col min="18" max="18" width="22.28515625" bestFit="1" customWidth="1"/>
    <col min="19" max="19" width="29.7109375" customWidth="1"/>
    <col min="20" max="20" width="18.28515625" bestFit="1" customWidth="1"/>
    <col min="21" max="21" width="22.28515625" bestFit="1" customWidth="1"/>
    <col min="22" max="22" width="27.140625" customWidth="1"/>
    <col min="23" max="23" width="18.28515625" bestFit="1" customWidth="1"/>
    <col min="24" max="24" width="22.28515625" bestFit="1" customWidth="1"/>
    <col min="25" max="25" width="26.42578125" bestFit="1" customWidth="1"/>
    <col min="26" max="26" width="18.28515625" bestFit="1" customWidth="1"/>
    <col min="27" max="27" width="22.28515625" bestFit="1" customWidth="1"/>
    <col min="28" max="28" width="26.28515625" customWidth="1"/>
    <col min="29" max="29" width="18.28515625" bestFit="1" customWidth="1"/>
    <col min="30" max="30" width="22.28515625" bestFit="1" customWidth="1"/>
    <col min="31" max="31" width="26.42578125" bestFit="1" customWidth="1"/>
    <col min="32" max="32" width="18.28515625" bestFit="1" customWidth="1"/>
  </cols>
  <sheetData>
    <row r="1" spans="1:32" s="104" customFormat="1">
      <c r="A1" s="102"/>
      <c r="B1" s="103"/>
      <c r="C1" s="128" t="s">
        <v>243</v>
      </c>
      <c r="D1" s="129"/>
      <c r="E1" s="130"/>
      <c r="F1" s="128" t="s">
        <v>244</v>
      </c>
      <c r="G1" s="129"/>
      <c r="H1" s="130"/>
      <c r="I1" s="128" t="s">
        <v>245</v>
      </c>
      <c r="J1" s="129"/>
      <c r="K1" s="130"/>
      <c r="L1" s="128" t="s">
        <v>246</v>
      </c>
      <c r="M1" s="129"/>
      <c r="N1" s="130"/>
      <c r="O1" s="128" t="s">
        <v>247</v>
      </c>
      <c r="P1" s="129"/>
      <c r="Q1" s="130"/>
      <c r="R1" s="128" t="s">
        <v>248</v>
      </c>
      <c r="S1" s="129"/>
      <c r="T1" s="130"/>
      <c r="U1" s="128" t="s">
        <v>249</v>
      </c>
      <c r="V1" s="129"/>
      <c r="W1" s="130"/>
      <c r="X1" s="128" t="s">
        <v>250</v>
      </c>
      <c r="Y1" s="129"/>
      <c r="Z1" s="130"/>
      <c r="AA1" s="128" t="s">
        <v>251</v>
      </c>
      <c r="AB1" s="129"/>
      <c r="AC1" s="130"/>
      <c r="AD1" s="128" t="s">
        <v>252</v>
      </c>
      <c r="AE1" s="129"/>
      <c r="AF1" s="130"/>
    </row>
    <row r="2" spans="1:32" s="104" customFormat="1">
      <c r="A2" s="58" t="s">
        <v>253</v>
      </c>
      <c r="B2" s="58" t="s">
        <v>61</v>
      </c>
      <c r="C2" s="105" t="s">
        <v>254</v>
      </c>
      <c r="D2" s="106" t="s">
        <v>255</v>
      </c>
      <c r="E2" s="105" t="s">
        <v>256</v>
      </c>
      <c r="F2" s="105" t="s">
        <v>254</v>
      </c>
      <c r="G2" s="106" t="s">
        <v>255</v>
      </c>
      <c r="H2" s="105" t="s">
        <v>256</v>
      </c>
      <c r="I2" s="105" t="s">
        <v>254</v>
      </c>
      <c r="J2" s="106" t="s">
        <v>255</v>
      </c>
      <c r="K2" s="105" t="s">
        <v>256</v>
      </c>
      <c r="L2" s="105" t="s">
        <v>254</v>
      </c>
      <c r="M2" s="106" t="s">
        <v>255</v>
      </c>
      <c r="N2" s="105" t="s">
        <v>256</v>
      </c>
      <c r="O2" s="105" t="s">
        <v>254</v>
      </c>
      <c r="P2" s="106" t="s">
        <v>255</v>
      </c>
      <c r="Q2" s="105" t="s">
        <v>256</v>
      </c>
      <c r="R2" s="105" t="s">
        <v>254</v>
      </c>
      <c r="S2" s="106" t="s">
        <v>255</v>
      </c>
      <c r="T2" s="105" t="s">
        <v>256</v>
      </c>
      <c r="U2" s="105" t="s">
        <v>254</v>
      </c>
      <c r="V2" s="106" t="s">
        <v>255</v>
      </c>
      <c r="W2" s="105" t="s">
        <v>256</v>
      </c>
      <c r="X2" s="105" t="s">
        <v>254</v>
      </c>
      <c r="Y2" s="106" t="s">
        <v>255</v>
      </c>
      <c r="Z2" s="105" t="s">
        <v>256</v>
      </c>
      <c r="AA2" s="105" t="s">
        <v>254</v>
      </c>
      <c r="AB2" s="106" t="s">
        <v>255</v>
      </c>
      <c r="AC2" s="105" t="s">
        <v>256</v>
      </c>
      <c r="AD2" s="105" t="s">
        <v>254</v>
      </c>
      <c r="AE2" s="106" t="s">
        <v>255</v>
      </c>
      <c r="AF2" s="105" t="s">
        <v>256</v>
      </c>
    </row>
    <row r="3" spans="1:32" s="1" customFormat="1">
      <c r="A3" s="107" t="s">
        <v>9</v>
      </c>
      <c r="B3" s="107">
        <v>0.25479248625475714</v>
      </c>
      <c r="C3" s="108">
        <v>628.18700000000001</v>
      </c>
      <c r="D3" s="109">
        <f>C3/B3</f>
        <v>2465.4847920903762</v>
      </c>
      <c r="E3" s="108">
        <v>20.500439800160358</v>
      </c>
      <c r="F3" s="108">
        <v>319.13850000000002</v>
      </c>
      <c r="G3" s="109">
        <f>F3/B3</f>
        <v>1252.5428229500685</v>
      </c>
      <c r="H3" s="108">
        <v>14.626503768843738</v>
      </c>
      <c r="I3" s="108">
        <v>1791.4</v>
      </c>
      <c r="J3" s="109">
        <f>I3/B3</f>
        <v>7030.8195753027367</v>
      </c>
      <c r="K3" s="108">
        <v>12.537003230437501</v>
      </c>
      <c r="L3" s="108">
        <v>1538.0765000000001</v>
      </c>
      <c r="M3" s="109">
        <f>L3/B3</f>
        <v>6036.5849974953226</v>
      </c>
      <c r="N3" s="108">
        <v>19.989201597362516</v>
      </c>
      <c r="O3" s="108">
        <v>2021.069</v>
      </c>
      <c r="P3" s="109">
        <f>O3/B3</f>
        <v>7932.2158581207586</v>
      </c>
      <c r="Q3" s="108">
        <v>7.7739319523650039</v>
      </c>
      <c r="R3" s="110">
        <v>2.4E-2</v>
      </c>
      <c r="S3" s="111">
        <f>R3/B3</f>
        <v>9.4194300439469511E-2</v>
      </c>
      <c r="T3" s="110">
        <v>0</v>
      </c>
      <c r="U3" s="110">
        <v>0.98799999999999999</v>
      </c>
      <c r="V3" s="111">
        <f>U3/B3</f>
        <v>3.877665368091495</v>
      </c>
      <c r="W3" s="110">
        <v>5.6568542494923853E-3</v>
      </c>
      <c r="X3" s="110">
        <v>0.1595</v>
      </c>
      <c r="Y3" s="111">
        <f>X3/B3</f>
        <v>0.62599962167064116</v>
      </c>
      <c r="Z3" s="110">
        <v>2.1213203435596446E-3</v>
      </c>
      <c r="AA3" s="110">
        <v>24.419499999999999</v>
      </c>
      <c r="AB3" s="111">
        <f>AA3/B3</f>
        <v>95.840738315901064</v>
      </c>
      <c r="AC3" s="110">
        <v>0.98075710550574169</v>
      </c>
      <c r="AD3" s="110">
        <v>0.25</v>
      </c>
      <c r="AE3" s="111">
        <f>AD3/B3</f>
        <v>0.98119062957780745</v>
      </c>
      <c r="AF3" s="110">
        <v>2.6870057685088811E-2</v>
      </c>
    </row>
    <row r="4" spans="1:32" s="1" customFormat="1">
      <c r="A4" s="107" t="s">
        <v>10</v>
      </c>
      <c r="B4" s="107">
        <v>0.2665647596489939</v>
      </c>
      <c r="C4" s="108">
        <v>627.39549999999997</v>
      </c>
      <c r="D4" s="109">
        <f t="shared" ref="D4:D11" si="0">C4/B4</f>
        <v>2353.6325687841836</v>
      </c>
      <c r="E4" s="108">
        <v>0.78135299321114793</v>
      </c>
      <c r="F4" s="108">
        <v>439.2115</v>
      </c>
      <c r="G4" s="109">
        <f t="shared" ref="G4:G11" si="1">F4/B4</f>
        <v>1647.6727853236985</v>
      </c>
      <c r="H4" s="108">
        <v>12.189813800874916</v>
      </c>
      <c r="I4" s="108">
        <v>2320.8900000000003</v>
      </c>
      <c r="J4" s="109">
        <f t="shared" ref="J4:J11" si="2">I4/B4</f>
        <v>8706.6647633996818</v>
      </c>
      <c r="K4" s="108">
        <v>38.93047094500659</v>
      </c>
      <c r="L4" s="108">
        <v>1655.556</v>
      </c>
      <c r="M4" s="109">
        <f t="shared" ref="M4:M11" si="3">L4/B4</f>
        <v>6210.7084304016653</v>
      </c>
      <c r="N4" s="108">
        <v>4.8677230816882036</v>
      </c>
      <c r="O4" s="108">
        <v>2578.4299999999998</v>
      </c>
      <c r="P4" s="109">
        <f t="shared" ref="P4:P11" si="4">O4/B4</f>
        <v>9672.8089766824942</v>
      </c>
      <c r="Q4" s="108">
        <v>14.398108278520537</v>
      </c>
      <c r="R4" s="110">
        <v>5.3000000000000005E-2</v>
      </c>
      <c r="S4" s="111">
        <f t="shared" ref="S4:S11" si="5">R4/B4</f>
        <v>0.19882598161058176</v>
      </c>
      <c r="T4" s="110">
        <v>5.656854249492381E-3</v>
      </c>
      <c r="U4" s="110">
        <v>1.121</v>
      </c>
      <c r="V4" s="111">
        <f t="shared" ref="V4:V11" si="6">U4/B4</f>
        <v>4.2053570827445679</v>
      </c>
      <c r="W4" s="110">
        <v>0.11737972567696683</v>
      </c>
      <c r="X4" s="110">
        <v>0.16249999999999998</v>
      </c>
      <c r="Y4" s="111">
        <f t="shared" ref="Y4:Y11" si="7">X4/B4</f>
        <v>0.60960796248527405</v>
      </c>
      <c r="Z4" s="110">
        <v>1.7677669529663684E-2</v>
      </c>
      <c r="AA4" s="110">
        <v>24.541</v>
      </c>
      <c r="AB4" s="111">
        <f t="shared" ref="AB4:AB11" si="8">AA4/B4</f>
        <v>92.063932352929925</v>
      </c>
      <c r="AC4" s="110">
        <v>0.52325901807804653</v>
      </c>
      <c r="AD4" s="110">
        <v>0.17899999999999999</v>
      </c>
      <c r="AE4" s="111">
        <f t="shared" ref="AE4:AE11" si="9">AD4/B4</f>
        <v>0.67150661713762505</v>
      </c>
      <c r="AF4" s="110">
        <v>1.1313708498984752E-2</v>
      </c>
    </row>
    <row r="5" spans="1:32" s="1" customFormat="1">
      <c r="A5" s="107" t="s">
        <v>11</v>
      </c>
      <c r="B5" s="107">
        <v>0.24876220922669601</v>
      </c>
      <c r="C5" s="108">
        <v>540.16450000000009</v>
      </c>
      <c r="D5" s="109">
        <f t="shared" si="0"/>
        <v>2171.4090001015802</v>
      </c>
      <c r="E5" s="108">
        <v>8.2243589719807133</v>
      </c>
      <c r="F5" s="108">
        <v>401.78399999999999</v>
      </c>
      <c r="G5" s="109">
        <f t="shared" si="1"/>
        <v>1615.1327858398936</v>
      </c>
      <c r="H5" s="108">
        <v>6.7203428483969612</v>
      </c>
      <c r="I5" s="108">
        <v>2164.1424999999999</v>
      </c>
      <c r="J5" s="109">
        <f t="shared" si="2"/>
        <v>8699.6433530939794</v>
      </c>
      <c r="K5" s="108">
        <v>51.471009709350099</v>
      </c>
      <c r="L5" s="108">
        <v>1614.4405000000002</v>
      </c>
      <c r="M5" s="109">
        <f t="shared" si="3"/>
        <v>6489.8945262572697</v>
      </c>
      <c r="N5" s="108">
        <v>39.622728483788251</v>
      </c>
      <c r="O5" s="108">
        <v>2346.585</v>
      </c>
      <c r="P5" s="109">
        <f t="shared" si="4"/>
        <v>9433.0445419929783</v>
      </c>
      <c r="Q5" s="108">
        <v>49.914667683958491</v>
      </c>
      <c r="R5" s="110">
        <v>2.5000000000000001E-2</v>
      </c>
      <c r="S5" s="111">
        <f t="shared" si="5"/>
        <v>0.10049757990860099</v>
      </c>
      <c r="T5" s="110">
        <v>7.0710678118654537E-3</v>
      </c>
      <c r="U5" s="110">
        <v>1.095</v>
      </c>
      <c r="V5" s="111">
        <f t="shared" si="6"/>
        <v>4.4017939999967233</v>
      </c>
      <c r="W5" s="110">
        <v>0.31254119728445445</v>
      </c>
      <c r="X5" s="110">
        <v>0.1865</v>
      </c>
      <c r="Y5" s="111">
        <f t="shared" si="7"/>
        <v>0.74971194611816339</v>
      </c>
      <c r="Z5" s="110">
        <v>6.3639610306789329E-3</v>
      </c>
      <c r="AA5" s="110">
        <v>18.8355</v>
      </c>
      <c r="AB5" s="111">
        <f t="shared" si="8"/>
        <v>75.716886654738161</v>
      </c>
      <c r="AC5" s="110">
        <v>0.3217335854398779</v>
      </c>
      <c r="AD5" s="110">
        <v>0.193</v>
      </c>
      <c r="AE5" s="111">
        <f t="shared" si="9"/>
        <v>0.77584131689439961</v>
      </c>
      <c r="AF5" s="110">
        <v>1.4142135623730963E-2</v>
      </c>
    </row>
    <row r="6" spans="1:32" s="1" customFormat="1">
      <c r="A6" s="107" t="s">
        <v>12</v>
      </c>
      <c r="B6" s="107">
        <v>0.24045908002074934</v>
      </c>
      <c r="C6" s="108">
        <v>613.08349999999996</v>
      </c>
      <c r="D6" s="109">
        <f t="shared" si="0"/>
        <v>2549.6375514166348</v>
      </c>
      <c r="E6" s="108">
        <v>23.775051303835241</v>
      </c>
      <c r="F6" s="108">
        <v>310.04349999999999</v>
      </c>
      <c r="G6" s="109">
        <f t="shared" si="1"/>
        <v>1289.3815445573782</v>
      </c>
      <c r="H6" s="108">
        <v>4.5997296116184883</v>
      </c>
      <c r="I6" s="108">
        <v>1972.5295000000001</v>
      </c>
      <c r="J6" s="109">
        <f t="shared" si="2"/>
        <v>8203.1815967597868</v>
      </c>
      <c r="K6" s="108">
        <v>8.7391327086846466</v>
      </c>
      <c r="L6" s="108">
        <v>1673.644</v>
      </c>
      <c r="M6" s="109">
        <f t="shared" si="3"/>
        <v>6960.2029578403963</v>
      </c>
      <c r="N6" s="108">
        <v>2.3094107473553183</v>
      </c>
      <c r="O6" s="108">
        <v>2102.6504999999997</v>
      </c>
      <c r="P6" s="109">
        <f t="shared" si="4"/>
        <v>8744.3173275825593</v>
      </c>
      <c r="Q6" s="108">
        <v>0.33021886681418716</v>
      </c>
      <c r="R6" s="110">
        <v>1.7000000000000001E-2</v>
      </c>
      <c r="S6" s="111">
        <f t="shared" si="5"/>
        <v>7.0698099645615645E-2</v>
      </c>
      <c r="T6" s="110">
        <v>4.2426406871192857E-3</v>
      </c>
      <c r="U6" s="110">
        <v>0.879</v>
      </c>
      <c r="V6" s="111">
        <f t="shared" si="6"/>
        <v>3.6555076228527144</v>
      </c>
      <c r="W6" s="110">
        <v>1.2727922061357866E-2</v>
      </c>
      <c r="X6" s="110">
        <v>0.16400000000000001</v>
      </c>
      <c r="Y6" s="111">
        <f t="shared" si="7"/>
        <v>0.68202872599299791</v>
      </c>
      <c r="Z6" s="110">
        <v>4.2426406871192892E-3</v>
      </c>
      <c r="AA6" s="110">
        <v>19.033000000000001</v>
      </c>
      <c r="AB6" s="111">
        <f t="shared" si="8"/>
        <v>79.152760620882489</v>
      </c>
      <c r="AC6" s="110">
        <v>0.40305086527633227</v>
      </c>
      <c r="AD6" s="110">
        <v>0.13250000000000001</v>
      </c>
      <c r="AE6" s="111">
        <f t="shared" si="9"/>
        <v>0.55102930606141598</v>
      </c>
      <c r="AF6" s="110">
        <v>2.1920310216782854E-2</v>
      </c>
    </row>
    <row r="7" spans="1:32" s="1" customFormat="1">
      <c r="A7" s="107" t="s">
        <v>13</v>
      </c>
      <c r="B7" s="107">
        <v>0.22939153077564695</v>
      </c>
      <c r="C7" s="108">
        <v>635.64650000000006</v>
      </c>
      <c r="D7" s="109">
        <f t="shared" si="0"/>
        <v>2771.0111957955628</v>
      </c>
      <c r="E7" s="108">
        <v>2.4472965696865696</v>
      </c>
      <c r="F7" s="108">
        <v>432.11099999999999</v>
      </c>
      <c r="G7" s="109">
        <f t="shared" si="1"/>
        <v>1883.7269124055842</v>
      </c>
      <c r="H7" s="108">
        <v>1.9403010075759064</v>
      </c>
      <c r="I7" s="108">
        <v>2385.9315000000001</v>
      </c>
      <c r="J7" s="109">
        <f t="shared" si="2"/>
        <v>10401.131602079615</v>
      </c>
      <c r="K7" s="108">
        <v>7.0137921625892723</v>
      </c>
      <c r="L7" s="108">
        <v>1703.9915000000001</v>
      </c>
      <c r="M7" s="109">
        <f t="shared" si="3"/>
        <v>7428.3104273215922</v>
      </c>
      <c r="N7" s="108">
        <v>28.549436290406856</v>
      </c>
      <c r="O7" s="108">
        <v>2667.2325000000001</v>
      </c>
      <c r="P7" s="109">
        <f t="shared" si="4"/>
        <v>11627.423606186438</v>
      </c>
      <c r="Q7" s="108">
        <v>69.052512716772114</v>
      </c>
      <c r="R7" s="110">
        <v>5.3999999999999999E-2</v>
      </c>
      <c r="S7" s="111">
        <f t="shared" si="5"/>
        <v>0.23540537794664232</v>
      </c>
      <c r="T7" s="110">
        <v>2.8284271247461927E-3</v>
      </c>
      <c r="U7" s="110">
        <v>0.94850000000000001</v>
      </c>
      <c r="V7" s="111">
        <f t="shared" si="6"/>
        <v>4.1348518700442636</v>
      </c>
      <c r="W7" s="110">
        <v>4.030508652763317E-2</v>
      </c>
      <c r="X7" s="110">
        <v>0.17449999999999999</v>
      </c>
      <c r="Y7" s="111">
        <f t="shared" si="7"/>
        <v>0.7607081194757237</v>
      </c>
      <c r="Z7" s="110">
        <v>3.5355339059327407E-3</v>
      </c>
      <c r="AA7" s="110">
        <v>25.4435</v>
      </c>
      <c r="AB7" s="111">
        <f t="shared" si="8"/>
        <v>110.91734692195173</v>
      </c>
      <c r="AC7" s="110">
        <v>0.15485638507985475</v>
      </c>
      <c r="AD7" s="110">
        <v>0.188</v>
      </c>
      <c r="AE7" s="111">
        <f t="shared" si="9"/>
        <v>0.81955946396238433</v>
      </c>
      <c r="AF7" s="110">
        <v>4.1012193308819792E-2</v>
      </c>
    </row>
    <row r="8" spans="1:32" s="1" customFormat="1">
      <c r="A8" s="107" t="s">
        <v>14</v>
      </c>
      <c r="B8" s="107">
        <v>0.20534708516324557</v>
      </c>
      <c r="C8" s="108">
        <v>512.702</v>
      </c>
      <c r="D8" s="109">
        <f t="shared" si="0"/>
        <v>2496.7581088010834</v>
      </c>
      <c r="E8" s="108">
        <v>10.462351934436192</v>
      </c>
      <c r="F8" s="108">
        <v>271.79700000000003</v>
      </c>
      <c r="G8" s="109">
        <f t="shared" si="1"/>
        <v>1323.5980427183981</v>
      </c>
      <c r="H8" s="108">
        <v>5.3542125471445399</v>
      </c>
      <c r="I8" s="108">
        <v>1954.8975</v>
      </c>
      <c r="J8" s="109">
        <f t="shared" si="2"/>
        <v>9519.967125152556</v>
      </c>
      <c r="K8" s="108">
        <v>154.62798958953059</v>
      </c>
      <c r="L8" s="108">
        <v>1605.6475</v>
      </c>
      <c r="M8" s="109">
        <f t="shared" si="3"/>
        <v>7819.1881746144691</v>
      </c>
      <c r="N8" s="108">
        <v>10.205672172865436</v>
      </c>
      <c r="O8" s="108">
        <v>1920.4794999999999</v>
      </c>
      <c r="P8" s="109">
        <f t="shared" si="4"/>
        <v>9352.3582205867151</v>
      </c>
      <c r="Q8" s="108">
        <v>15.507558818202202</v>
      </c>
      <c r="R8" s="110">
        <v>2.6499999999999999E-2</v>
      </c>
      <c r="S8" s="111">
        <f t="shared" si="5"/>
        <v>0.1290497986807711</v>
      </c>
      <c r="T8" s="110">
        <v>4.9497474683058325E-3</v>
      </c>
      <c r="U8" s="110">
        <v>0.88349999999999995</v>
      </c>
      <c r="V8" s="111">
        <f t="shared" si="6"/>
        <v>4.3024715899796702</v>
      </c>
      <c r="W8" s="110">
        <v>4.1719300090006343E-2</v>
      </c>
      <c r="X8" s="110">
        <v>0.14100000000000001</v>
      </c>
      <c r="Y8" s="111">
        <f t="shared" si="7"/>
        <v>0.68664232505617839</v>
      </c>
      <c r="Z8" s="110">
        <v>1.4142135623730766E-3</v>
      </c>
      <c r="AA8" s="110">
        <v>13.7775</v>
      </c>
      <c r="AB8" s="111">
        <f t="shared" si="8"/>
        <v>67.093720804691472</v>
      </c>
      <c r="AC8" s="110">
        <v>0.10394469683442266</v>
      </c>
      <c r="AD8" s="110">
        <v>6.2E-2</v>
      </c>
      <c r="AE8" s="111">
        <f t="shared" si="9"/>
        <v>0.30192783087576636</v>
      </c>
      <c r="AF8" s="110">
        <v>5.656854249492381E-3</v>
      </c>
    </row>
    <row r="9" spans="1:32" s="1" customFormat="1">
      <c r="A9" s="107" t="s">
        <v>15</v>
      </c>
      <c r="B9" s="107">
        <v>0.19496614247882196</v>
      </c>
      <c r="C9" s="108">
        <v>501.72299999999996</v>
      </c>
      <c r="D9" s="109">
        <f t="shared" si="0"/>
        <v>2573.3852740841871</v>
      </c>
      <c r="E9" s="108">
        <v>8.6974134085945423</v>
      </c>
      <c r="F9" s="108">
        <v>238.71050000000002</v>
      </c>
      <c r="G9" s="109">
        <f t="shared" si="1"/>
        <v>1224.368995380466</v>
      </c>
      <c r="H9" s="108">
        <v>0.63993163697382638</v>
      </c>
      <c r="I9" s="108">
        <v>1585.0219999999999</v>
      </c>
      <c r="J9" s="109">
        <f t="shared" si="2"/>
        <v>8129.7294999421329</v>
      </c>
      <c r="K9" s="108">
        <v>20.518824576471257</v>
      </c>
      <c r="L9" s="108">
        <v>1600.1129999999998</v>
      </c>
      <c r="M9" s="109">
        <f t="shared" si="3"/>
        <v>8207.1326829160134</v>
      </c>
      <c r="N9" s="108">
        <v>23.529685250763603</v>
      </c>
      <c r="O9" s="108">
        <v>1658.5695000000001</v>
      </c>
      <c r="P9" s="109">
        <f t="shared" si="4"/>
        <v>8506.961664793469</v>
      </c>
      <c r="Q9" s="108">
        <v>4.8839865376554306</v>
      </c>
      <c r="R9" s="110">
        <v>1.8000000000000002E-2</v>
      </c>
      <c r="S9" s="111">
        <f t="shared" si="5"/>
        <v>9.2323722319916326E-2</v>
      </c>
      <c r="T9" s="110">
        <v>1.4142135623730939E-3</v>
      </c>
      <c r="U9" s="110">
        <v>0.92449999999999999</v>
      </c>
      <c r="V9" s="111">
        <f t="shared" si="6"/>
        <v>4.7418489602645906</v>
      </c>
      <c r="W9" s="110">
        <v>6.8589357775095089E-2</v>
      </c>
      <c r="X9" s="110">
        <v>0.1545</v>
      </c>
      <c r="Y9" s="111">
        <f t="shared" si="7"/>
        <v>0.79244528324594843</v>
      </c>
      <c r="Z9" s="110">
        <v>2.1213203435596446E-3</v>
      </c>
      <c r="AA9" s="110">
        <v>10.861499999999999</v>
      </c>
      <c r="AB9" s="111">
        <f t="shared" si="8"/>
        <v>55.709672776542838</v>
      </c>
      <c r="AC9" s="110">
        <v>0.27789296500631366</v>
      </c>
      <c r="AD9" s="110">
        <v>0.14450000000000002</v>
      </c>
      <c r="AE9" s="111">
        <f t="shared" si="9"/>
        <v>0.74115432640155055</v>
      </c>
      <c r="AF9" s="110">
        <v>2.0506096654409878E-2</v>
      </c>
    </row>
    <row r="10" spans="1:32" s="1" customFormat="1">
      <c r="A10" s="107" t="s">
        <v>16</v>
      </c>
      <c r="B10" s="107">
        <v>0.16855272679079111</v>
      </c>
      <c r="C10" s="108">
        <v>481.553</v>
      </c>
      <c r="D10" s="109">
        <f t="shared" si="0"/>
        <v>2856.9873010580668</v>
      </c>
      <c r="E10" s="108">
        <v>5.549374018751994</v>
      </c>
      <c r="F10" s="108">
        <v>204.35300000000001</v>
      </c>
      <c r="G10" s="109">
        <f t="shared" si="1"/>
        <v>1212.3980661175804</v>
      </c>
      <c r="H10" s="108">
        <v>3.2314779900225172</v>
      </c>
      <c r="I10" s="108">
        <v>1674.03</v>
      </c>
      <c r="J10" s="109">
        <f t="shared" si="2"/>
        <v>9931.7883007482778</v>
      </c>
      <c r="K10" s="108">
        <v>26.718736833914924</v>
      </c>
      <c r="L10" s="108">
        <v>1619.2729999999999</v>
      </c>
      <c r="M10" s="109">
        <f t="shared" si="3"/>
        <v>9606.9225982315529</v>
      </c>
      <c r="N10" s="108">
        <v>30.298111360281158</v>
      </c>
      <c r="O10" s="108">
        <v>1664.2049999999999</v>
      </c>
      <c r="P10" s="109">
        <f t="shared" si="4"/>
        <v>9873.4979355488176</v>
      </c>
      <c r="Q10" s="108">
        <v>3.7745359979737665</v>
      </c>
      <c r="R10" s="110">
        <v>9.4999999999999998E-3</v>
      </c>
      <c r="S10" s="111">
        <f t="shared" si="5"/>
        <v>5.6362185180139329E-2</v>
      </c>
      <c r="T10" s="110">
        <v>3.5355339059327385E-3</v>
      </c>
      <c r="U10" s="110">
        <v>0.56950000000000001</v>
      </c>
      <c r="V10" s="111">
        <f t="shared" si="6"/>
        <v>3.3787646800094051</v>
      </c>
      <c r="W10" s="110">
        <v>4.4547727214752454E-2</v>
      </c>
      <c r="X10" s="110">
        <v>0.122</v>
      </c>
      <c r="Y10" s="111">
        <f t="shared" si="7"/>
        <v>0.72380911494494715</v>
      </c>
      <c r="Z10" s="110">
        <v>4.2426406871192892E-3</v>
      </c>
      <c r="AA10" s="110">
        <v>9.6780000000000008</v>
      </c>
      <c r="AB10" s="111">
        <f t="shared" si="8"/>
        <v>57.418234544567206</v>
      </c>
      <c r="AC10" s="110">
        <v>0.19516147160748826</v>
      </c>
      <c r="AD10" s="110">
        <v>0.1055</v>
      </c>
      <c r="AE10" s="111">
        <f t="shared" si="9"/>
        <v>0.62591689857944199</v>
      </c>
      <c r="AF10" s="110">
        <v>4.9497474683058368E-3</v>
      </c>
    </row>
    <row r="11" spans="1:32" s="1" customFormat="1">
      <c r="A11" s="107" t="s">
        <v>17</v>
      </c>
      <c r="B11" s="107">
        <v>0.15019812620948753</v>
      </c>
      <c r="C11" s="108">
        <v>440.43399999999997</v>
      </c>
      <c r="D11" s="109">
        <f t="shared" si="0"/>
        <v>2932.353492783981</v>
      </c>
      <c r="E11" s="108">
        <v>18.343764117541379</v>
      </c>
      <c r="F11" s="108">
        <v>157.32249999999999</v>
      </c>
      <c r="G11" s="109">
        <f t="shared" si="1"/>
        <v>1047.4331735708595</v>
      </c>
      <c r="H11" s="108">
        <v>9.6753420869755242</v>
      </c>
      <c r="I11" s="108">
        <v>1290.5410000000002</v>
      </c>
      <c r="J11" s="109">
        <f t="shared" si="2"/>
        <v>8592.2576570631081</v>
      </c>
      <c r="K11" s="108">
        <v>16.390735187904216</v>
      </c>
      <c r="L11" s="108">
        <v>1549.0944999999999</v>
      </c>
      <c r="M11" s="109">
        <f t="shared" si="3"/>
        <v>10313.673939176937</v>
      </c>
      <c r="N11" s="108">
        <v>43.086137498039896</v>
      </c>
      <c r="O11" s="108">
        <v>1357.0909999999999</v>
      </c>
      <c r="P11" s="109">
        <f t="shared" si="4"/>
        <v>9035.339083439756</v>
      </c>
      <c r="Q11" s="108">
        <v>41.50858226921271</v>
      </c>
      <c r="R11" s="110">
        <v>6.5000000000000006E-3</v>
      </c>
      <c r="S11" s="111">
        <f t="shared" si="5"/>
        <v>4.32761723733769E-2</v>
      </c>
      <c r="T11" s="110">
        <v>2.1213203435596424E-3</v>
      </c>
      <c r="U11" s="110">
        <v>0.5605</v>
      </c>
      <c r="V11" s="111">
        <f t="shared" si="6"/>
        <v>3.7317376331196535</v>
      </c>
      <c r="W11" s="110">
        <v>0.23970919882223968</v>
      </c>
      <c r="X11" s="110">
        <v>9.7000000000000003E-2</v>
      </c>
      <c r="Y11" s="111">
        <f t="shared" si="7"/>
        <v>0.64581364926423979</v>
      </c>
      <c r="Z11" s="110">
        <v>1.4142135623730963E-3</v>
      </c>
      <c r="AA11" s="110">
        <v>7.0205000000000002</v>
      </c>
      <c r="AB11" s="111">
        <f t="shared" si="8"/>
        <v>46.741595099583463</v>
      </c>
      <c r="AC11" s="110">
        <v>3.0405591591021651E-2</v>
      </c>
      <c r="AD11" s="110">
        <v>7.6999999999999999E-2</v>
      </c>
      <c r="AE11" s="111">
        <f t="shared" si="9"/>
        <v>0.5126561958076955</v>
      </c>
      <c r="AF11" s="110">
        <v>2.8284271247461908E-2</v>
      </c>
    </row>
    <row r="12" spans="1:32" s="1" customFormat="1">
      <c r="A12" s="107" t="s">
        <v>18</v>
      </c>
      <c r="B12" s="107">
        <v>0.22087830294008207</v>
      </c>
      <c r="C12" s="108">
        <v>2330.7354999999998</v>
      </c>
      <c r="D12" s="109"/>
      <c r="E12" s="108">
        <v>37.160582671696872</v>
      </c>
      <c r="F12" s="108">
        <v>1198.809</v>
      </c>
      <c r="G12" s="109"/>
      <c r="H12" s="108">
        <v>28.81742976047649</v>
      </c>
      <c r="I12" s="108">
        <v>8078.6299999999992</v>
      </c>
      <c r="J12" s="109"/>
      <c r="K12" s="108">
        <v>207.80454085510269</v>
      </c>
      <c r="L12" s="108">
        <v>7343.2435000000005</v>
      </c>
      <c r="M12" s="109"/>
      <c r="N12" s="108">
        <v>200.80206240101211</v>
      </c>
      <c r="O12" s="108">
        <v>8474.8525000000009</v>
      </c>
      <c r="P12" s="109"/>
      <c r="Q12" s="108">
        <v>323.69722097123417</v>
      </c>
      <c r="R12" s="110">
        <v>8.5999999999999993E-2</v>
      </c>
      <c r="S12" s="111"/>
      <c r="T12" s="110">
        <v>1.4142135623730866E-3</v>
      </c>
      <c r="U12" s="110">
        <v>3.4485000000000001</v>
      </c>
      <c r="V12" s="111"/>
      <c r="W12" s="110">
        <v>8.1317279836452802E-2</v>
      </c>
      <c r="X12" s="110">
        <v>0.60599999999999998</v>
      </c>
      <c r="Y12" s="110"/>
      <c r="Z12" s="110">
        <v>2.1213203435596444E-2</v>
      </c>
      <c r="AA12" s="110">
        <v>61.533999999999999</v>
      </c>
      <c r="AB12" s="110"/>
      <c r="AC12" s="110">
        <v>1.2756206332605331</v>
      </c>
      <c r="AD12" s="110">
        <v>0.39</v>
      </c>
      <c r="AE12" s="110"/>
      <c r="AF12" s="110">
        <v>3.2526911934581175E-2</v>
      </c>
    </row>
    <row r="13" spans="1:32" s="1" customFormat="1">
      <c r="A13" s="107" t="s">
        <v>19</v>
      </c>
      <c r="B13" s="107">
        <v>0.22210840007450242</v>
      </c>
      <c r="C13" s="108">
        <v>2435.1579999999999</v>
      </c>
      <c r="D13" s="109"/>
      <c r="E13" s="108">
        <v>50.532679010715391</v>
      </c>
      <c r="F13" s="108">
        <v>1166.1354999999999</v>
      </c>
      <c r="G13" s="109"/>
      <c r="H13" s="108">
        <v>23.991425978878272</v>
      </c>
      <c r="I13" s="108">
        <v>8602.1150000000016</v>
      </c>
      <c r="J13" s="109"/>
      <c r="K13" s="108">
        <v>153.78865384026207</v>
      </c>
      <c r="L13" s="108">
        <v>7894.5964999999997</v>
      </c>
      <c r="M13" s="109"/>
      <c r="N13" s="108">
        <v>135.19245260183709</v>
      </c>
      <c r="O13" s="108">
        <v>9080.2985000000008</v>
      </c>
      <c r="P13" s="109"/>
      <c r="Q13" s="108">
        <v>222.53852485468579</v>
      </c>
      <c r="R13" s="110">
        <v>7.8999999999999987E-2</v>
      </c>
      <c r="S13" s="111"/>
      <c r="T13" s="110">
        <v>1.1313708498984897E-2</v>
      </c>
      <c r="U13" s="110">
        <v>3.2945000000000002</v>
      </c>
      <c r="V13" s="111"/>
      <c r="W13" s="110">
        <v>1.06066017177983E-2</v>
      </c>
      <c r="X13" s="110">
        <v>0.65549999999999997</v>
      </c>
      <c r="Y13" s="110"/>
      <c r="Z13" s="110">
        <v>6.3639610306789338E-3</v>
      </c>
      <c r="AA13" s="110">
        <v>58.316499999999998</v>
      </c>
      <c r="AB13" s="110"/>
      <c r="AC13" s="110">
        <v>1.4813887065858162</v>
      </c>
      <c r="AD13" s="110">
        <v>0.41549999999999998</v>
      </c>
      <c r="AE13" s="110"/>
      <c r="AF13" s="110">
        <v>4.9497474683058368E-3</v>
      </c>
    </row>
    <row r="14" spans="1:32" s="1" customFormat="1">
      <c r="A14" s="107" t="s">
        <v>20</v>
      </c>
      <c r="B14" s="107">
        <v>0.21865101546487486</v>
      </c>
      <c r="C14" s="108">
        <v>2532.3815000000004</v>
      </c>
      <c r="D14" s="109"/>
      <c r="E14" s="108">
        <v>19.399474541852893</v>
      </c>
      <c r="F14" s="108">
        <v>1022.6780000000001</v>
      </c>
      <c r="G14" s="109"/>
      <c r="H14" s="108">
        <v>15.245222202382006</v>
      </c>
      <c r="I14" s="108">
        <v>8777.8545000000013</v>
      </c>
      <c r="J14" s="109"/>
      <c r="K14" s="108">
        <v>263.68365423836997</v>
      </c>
      <c r="L14" s="108">
        <v>8671.1854999999996</v>
      </c>
      <c r="M14" s="109"/>
      <c r="N14" s="108">
        <v>257.23766882107344</v>
      </c>
      <c r="O14" s="108">
        <v>8764.9589999999989</v>
      </c>
      <c r="P14" s="109"/>
      <c r="Q14" s="108">
        <v>481.53123270666418</v>
      </c>
      <c r="R14" s="110">
        <v>7.0500000000000007E-2</v>
      </c>
      <c r="S14" s="111"/>
      <c r="T14" s="110">
        <v>7.7781745930520195E-3</v>
      </c>
      <c r="U14" s="110">
        <v>2.9085000000000001</v>
      </c>
      <c r="V14" s="111"/>
      <c r="W14" s="110">
        <v>6.4346717087975958E-2</v>
      </c>
      <c r="X14" s="110">
        <v>0.61199999999999999</v>
      </c>
      <c r="Y14" s="110"/>
      <c r="Z14" s="110">
        <v>8.4852813742385784E-3</v>
      </c>
      <c r="AA14" s="110">
        <v>49.833500000000001</v>
      </c>
      <c r="AB14" s="110"/>
      <c r="AC14" s="110">
        <v>0.84499260351792449</v>
      </c>
      <c r="AD14" s="110">
        <v>0.32600000000000001</v>
      </c>
      <c r="AE14" s="110"/>
      <c r="AF14" s="110">
        <v>2.4041630560342638E-2</v>
      </c>
    </row>
    <row r="15" spans="1:32" s="1" customFormat="1">
      <c r="A15" s="107" t="s">
        <v>21</v>
      </c>
      <c r="B15" s="107">
        <v>0.21080831408776088</v>
      </c>
      <c r="C15" s="108">
        <v>2781.1590000000001</v>
      </c>
      <c r="D15" s="109"/>
      <c r="E15" s="108">
        <v>74.325407984080442</v>
      </c>
      <c r="F15" s="108">
        <v>998.25649999999996</v>
      </c>
      <c r="G15" s="109"/>
      <c r="H15" s="108">
        <v>29.471503533074095</v>
      </c>
      <c r="I15" s="108">
        <v>8816.6</v>
      </c>
      <c r="J15" s="109"/>
      <c r="K15" s="108">
        <v>58.538541987309564</v>
      </c>
      <c r="L15" s="108">
        <v>9967.2265000000007</v>
      </c>
      <c r="M15" s="109"/>
      <c r="N15" s="108">
        <v>103.50558352330494</v>
      </c>
      <c r="O15" s="108">
        <v>9110.2799999999988</v>
      </c>
      <c r="P15" s="109"/>
      <c r="Q15" s="108">
        <v>79.908723128329228</v>
      </c>
      <c r="R15" s="110">
        <v>0.10899999999999999</v>
      </c>
      <c r="S15" s="111"/>
      <c r="T15" s="110">
        <v>4.9497474683058332E-2</v>
      </c>
      <c r="U15" s="110">
        <v>3.2845</v>
      </c>
      <c r="V15" s="111"/>
      <c r="W15" s="110">
        <v>0.7771103525240145</v>
      </c>
      <c r="X15" s="110">
        <v>0.65050000000000008</v>
      </c>
      <c r="Y15" s="110"/>
      <c r="Z15" s="110">
        <v>3.1819805153394672E-2</v>
      </c>
      <c r="AA15" s="110">
        <v>47.302499999999995</v>
      </c>
      <c r="AB15" s="110"/>
      <c r="AC15" s="110">
        <v>0.53810826048296467</v>
      </c>
      <c r="AD15" s="110">
        <v>0.26500000000000001</v>
      </c>
      <c r="AE15" s="110"/>
      <c r="AF15" s="110">
        <v>8.4852813742385784E-3</v>
      </c>
    </row>
    <row r="19" spans="1:21">
      <c r="A19" s="58" t="s">
        <v>253</v>
      </c>
      <c r="B19" s="105" t="s">
        <v>257</v>
      </c>
      <c r="C19" s="105" t="s">
        <v>256</v>
      </c>
      <c r="D19" s="105" t="s">
        <v>258</v>
      </c>
      <c r="E19" s="105" t="s">
        <v>256</v>
      </c>
      <c r="F19" s="105" t="s">
        <v>259</v>
      </c>
      <c r="G19" s="105" t="s">
        <v>256</v>
      </c>
      <c r="H19" s="105" t="s">
        <v>260</v>
      </c>
      <c r="I19" s="105" t="s">
        <v>256</v>
      </c>
      <c r="J19" s="105" t="s">
        <v>261</v>
      </c>
      <c r="K19" s="105" t="s">
        <v>256</v>
      </c>
      <c r="L19" s="105" t="s">
        <v>262</v>
      </c>
      <c r="M19" s="105" t="s">
        <v>256</v>
      </c>
      <c r="N19" s="105" t="s">
        <v>263</v>
      </c>
      <c r="O19" s="105" t="s">
        <v>256</v>
      </c>
      <c r="P19" s="105" t="s">
        <v>264</v>
      </c>
      <c r="Q19" s="105" t="s">
        <v>256</v>
      </c>
      <c r="R19" s="105" t="s">
        <v>265</v>
      </c>
      <c r="S19" s="105" t="s">
        <v>256</v>
      </c>
      <c r="T19" s="105" t="s">
        <v>266</v>
      </c>
      <c r="U19" s="105" t="s">
        <v>256</v>
      </c>
    </row>
    <row r="20" spans="1:21">
      <c r="A20" s="107" t="s">
        <v>9</v>
      </c>
      <c r="B20" s="108">
        <v>2465.4847920903762</v>
      </c>
      <c r="C20" s="108">
        <v>20.500439800160358</v>
      </c>
      <c r="D20" s="108">
        <v>1252.5428229500685</v>
      </c>
      <c r="E20" s="108">
        <v>14.626503768843738</v>
      </c>
      <c r="F20" s="108">
        <v>7030.8195753027367</v>
      </c>
      <c r="G20" s="108">
        <v>12.537003230437501</v>
      </c>
      <c r="H20" s="108">
        <v>6036.5849974953226</v>
      </c>
      <c r="I20" s="108">
        <v>19.989201597362516</v>
      </c>
      <c r="J20" s="108">
        <v>7932.2158581207586</v>
      </c>
      <c r="K20" s="108">
        <v>7.7739319523650039</v>
      </c>
      <c r="L20" s="110">
        <v>9.4194300439469511E-2</v>
      </c>
      <c r="M20" s="110">
        <v>0</v>
      </c>
      <c r="N20" s="110">
        <v>3.877665368091495</v>
      </c>
      <c r="O20" s="110">
        <v>5.6568542494923853E-3</v>
      </c>
      <c r="P20" s="110">
        <v>0.62599962167064116</v>
      </c>
      <c r="Q20" s="110">
        <v>2.1213203435596446E-3</v>
      </c>
      <c r="R20" s="110">
        <v>95.840738315901064</v>
      </c>
      <c r="S20" s="110">
        <v>0.98075710550574169</v>
      </c>
      <c r="T20" s="110">
        <v>0.98119062957780745</v>
      </c>
      <c r="U20" s="110">
        <v>2.6870057685088811E-2</v>
      </c>
    </row>
    <row r="21" spans="1:21">
      <c r="A21" s="107" t="s">
        <v>10</v>
      </c>
      <c r="B21" s="108">
        <v>2353.6325687841836</v>
      </c>
      <c r="C21" s="108">
        <v>0.78135299321114793</v>
      </c>
      <c r="D21" s="108">
        <v>1647.6727853236985</v>
      </c>
      <c r="E21" s="108">
        <v>12.189813800874916</v>
      </c>
      <c r="F21" s="108">
        <v>8706.6647633996818</v>
      </c>
      <c r="G21" s="108">
        <v>38.93047094500659</v>
      </c>
      <c r="H21" s="108">
        <v>6210.7084304016653</v>
      </c>
      <c r="I21" s="108">
        <v>4.8677230816882036</v>
      </c>
      <c r="J21" s="108">
        <v>9672.8089766824942</v>
      </c>
      <c r="K21" s="108">
        <v>14.398108278520537</v>
      </c>
      <c r="L21" s="110">
        <v>0.19882598161058176</v>
      </c>
      <c r="M21" s="110">
        <v>5.656854249492381E-3</v>
      </c>
      <c r="N21" s="110">
        <v>4.2053570827445679</v>
      </c>
      <c r="O21" s="110">
        <v>0.11737972567696683</v>
      </c>
      <c r="P21" s="110">
        <v>0.60960796248527405</v>
      </c>
      <c r="Q21" s="110">
        <v>1.7677669529663684E-2</v>
      </c>
      <c r="R21" s="110">
        <v>92.063932352929925</v>
      </c>
      <c r="S21" s="110">
        <v>0.52325901807804653</v>
      </c>
      <c r="T21" s="110">
        <v>0.67150661713762505</v>
      </c>
      <c r="U21" s="110">
        <v>1.1313708498984752E-2</v>
      </c>
    </row>
    <row r="22" spans="1:21">
      <c r="A22" s="107" t="s">
        <v>11</v>
      </c>
      <c r="B22" s="108">
        <v>2171.4090001015802</v>
      </c>
      <c r="C22" s="108">
        <v>8.2243589719807133</v>
      </c>
      <c r="D22" s="108">
        <v>1615.1327858398936</v>
      </c>
      <c r="E22" s="108">
        <v>6.7203428483969612</v>
      </c>
      <c r="F22" s="108">
        <v>8699.6433530939794</v>
      </c>
      <c r="G22" s="108">
        <v>51.471009709350099</v>
      </c>
      <c r="H22" s="108">
        <v>6489.8945262572697</v>
      </c>
      <c r="I22" s="108">
        <v>39.622728483788251</v>
      </c>
      <c r="J22" s="108">
        <v>9433.0445419929783</v>
      </c>
      <c r="K22" s="108">
        <v>49.914667683958491</v>
      </c>
      <c r="L22" s="110">
        <v>0.10049757990860099</v>
      </c>
      <c r="M22" s="110">
        <v>7.0710678118654537E-3</v>
      </c>
      <c r="N22" s="110">
        <v>4.4017939999967233</v>
      </c>
      <c r="O22" s="110">
        <v>0.31254119728445445</v>
      </c>
      <c r="P22" s="110">
        <v>0.74971194611816339</v>
      </c>
      <c r="Q22" s="110">
        <v>6.3639610306789329E-3</v>
      </c>
      <c r="R22" s="110">
        <v>75.716886654738161</v>
      </c>
      <c r="S22" s="110">
        <v>0.3217335854398779</v>
      </c>
      <c r="T22" s="110">
        <v>0.77584131689439961</v>
      </c>
      <c r="U22" s="110">
        <v>1.4142135623730963E-2</v>
      </c>
    </row>
    <row r="23" spans="1:21">
      <c r="A23" s="107" t="s">
        <v>12</v>
      </c>
      <c r="B23" s="108">
        <v>2549.6375514166348</v>
      </c>
      <c r="C23" s="108">
        <v>23.775051303835241</v>
      </c>
      <c r="D23" s="108">
        <v>1289.3815445573782</v>
      </c>
      <c r="E23" s="108">
        <v>4.5997296116184883</v>
      </c>
      <c r="F23" s="108">
        <v>8203.1815967597868</v>
      </c>
      <c r="G23" s="108">
        <v>8.7391327086846466</v>
      </c>
      <c r="H23" s="108">
        <v>6960.2029578403963</v>
      </c>
      <c r="I23" s="108">
        <v>2.3094107473553183</v>
      </c>
      <c r="J23" s="108">
        <v>8744.3173275825593</v>
      </c>
      <c r="K23" s="108">
        <v>0.33021886681418716</v>
      </c>
      <c r="L23" s="110">
        <v>7.0698099645615645E-2</v>
      </c>
      <c r="M23" s="110">
        <v>4.2426406871192857E-3</v>
      </c>
      <c r="N23" s="110">
        <v>3.6555076228527144</v>
      </c>
      <c r="O23" s="110">
        <v>1.2727922061357866E-2</v>
      </c>
      <c r="P23" s="110">
        <v>0.68202872599299791</v>
      </c>
      <c r="Q23" s="110">
        <v>4.2426406871192892E-3</v>
      </c>
      <c r="R23" s="110">
        <v>79.152760620882489</v>
      </c>
      <c r="S23" s="110">
        <v>0.40305086527633227</v>
      </c>
      <c r="T23" s="110">
        <v>0.55102930606141598</v>
      </c>
      <c r="U23" s="110">
        <v>2.1920310216782854E-2</v>
      </c>
    </row>
    <row r="24" spans="1:21">
      <c r="A24" s="107" t="s">
        <v>13</v>
      </c>
      <c r="B24" s="108">
        <v>2771.0111957955628</v>
      </c>
      <c r="C24" s="108">
        <v>2.4472965696865696</v>
      </c>
      <c r="D24" s="108">
        <v>1883.7269124055842</v>
      </c>
      <c r="E24" s="108">
        <v>1.9403010075759064</v>
      </c>
      <c r="F24" s="108">
        <v>10401.131602079615</v>
      </c>
      <c r="G24" s="108">
        <v>7.0137921625892723</v>
      </c>
      <c r="H24" s="108">
        <v>7428.3104273215922</v>
      </c>
      <c r="I24" s="108">
        <v>28.549436290406856</v>
      </c>
      <c r="J24" s="108">
        <v>11627.423606186438</v>
      </c>
      <c r="K24" s="108">
        <v>69.052512716772114</v>
      </c>
      <c r="L24" s="110">
        <v>0.23540537794664232</v>
      </c>
      <c r="M24" s="110">
        <v>2.8284271247461927E-3</v>
      </c>
      <c r="N24" s="110">
        <v>4.1348518700442636</v>
      </c>
      <c r="O24" s="110">
        <v>4.030508652763317E-2</v>
      </c>
      <c r="P24" s="110">
        <v>0.7607081194757237</v>
      </c>
      <c r="Q24" s="110">
        <v>3.5355339059327407E-3</v>
      </c>
      <c r="R24" s="110">
        <v>110.91734692195173</v>
      </c>
      <c r="S24" s="110">
        <v>0.15485638507985475</v>
      </c>
      <c r="T24" s="110">
        <v>0.81955946396238433</v>
      </c>
      <c r="U24" s="110">
        <v>4.1012193308819792E-2</v>
      </c>
    </row>
    <row r="25" spans="1:21">
      <c r="A25" s="107" t="s">
        <v>14</v>
      </c>
      <c r="B25" s="108">
        <v>2496.7581088010834</v>
      </c>
      <c r="C25" s="108">
        <v>10.462351934436192</v>
      </c>
      <c r="D25" s="108">
        <v>1323.5980427183981</v>
      </c>
      <c r="E25" s="108">
        <v>5.3542125471445399</v>
      </c>
      <c r="F25" s="108">
        <v>9519.967125152556</v>
      </c>
      <c r="G25" s="108">
        <v>154.62798958953059</v>
      </c>
      <c r="H25" s="108">
        <v>7819.1881746144691</v>
      </c>
      <c r="I25" s="108">
        <v>10.205672172865436</v>
      </c>
      <c r="J25" s="108">
        <v>9352.3582205867151</v>
      </c>
      <c r="K25" s="108">
        <v>15.507558818202202</v>
      </c>
      <c r="L25" s="110">
        <v>0.1290497986807711</v>
      </c>
      <c r="M25" s="110">
        <v>4.9497474683058325E-3</v>
      </c>
      <c r="N25" s="110">
        <v>4.3024715899796702</v>
      </c>
      <c r="O25" s="110">
        <v>4.1719300090006343E-2</v>
      </c>
      <c r="P25" s="110">
        <v>0.68664232505617839</v>
      </c>
      <c r="Q25" s="110">
        <v>1.4142135623730766E-3</v>
      </c>
      <c r="R25" s="110">
        <v>67.093720804691472</v>
      </c>
      <c r="S25" s="110">
        <v>0.10394469683442266</v>
      </c>
      <c r="T25" s="110">
        <v>0.30192783087576636</v>
      </c>
      <c r="U25" s="110">
        <v>5.656854249492381E-3</v>
      </c>
    </row>
    <row r="26" spans="1:21">
      <c r="A26" s="107" t="s">
        <v>15</v>
      </c>
      <c r="B26" s="108">
        <v>2573.3852740841871</v>
      </c>
      <c r="C26" s="108">
        <v>8.6974134085945423</v>
      </c>
      <c r="D26" s="108">
        <v>1224.368995380466</v>
      </c>
      <c r="E26" s="108">
        <v>0.63993163697382638</v>
      </c>
      <c r="F26" s="108">
        <v>8129.7294999421329</v>
      </c>
      <c r="G26" s="108">
        <v>20.518824576471257</v>
      </c>
      <c r="H26" s="108">
        <v>8207.1326829160134</v>
      </c>
      <c r="I26" s="108">
        <v>23.529685250763603</v>
      </c>
      <c r="J26" s="108">
        <v>8506.961664793469</v>
      </c>
      <c r="K26" s="108">
        <v>4.8839865376554306</v>
      </c>
      <c r="L26" s="110">
        <v>9.2323722319916326E-2</v>
      </c>
      <c r="M26" s="110">
        <v>1.4142135623730939E-3</v>
      </c>
      <c r="N26" s="110">
        <v>4.7418489602645906</v>
      </c>
      <c r="O26" s="110">
        <v>6.8589357775095089E-2</v>
      </c>
      <c r="P26" s="110">
        <v>0.79244528324594843</v>
      </c>
      <c r="Q26" s="110">
        <v>2.1213203435596446E-3</v>
      </c>
      <c r="R26" s="110">
        <v>55.709672776542838</v>
      </c>
      <c r="S26" s="110">
        <v>0.27789296500631366</v>
      </c>
      <c r="T26" s="110">
        <v>0.74115432640155055</v>
      </c>
      <c r="U26" s="110">
        <v>2.0506096654409878E-2</v>
      </c>
    </row>
    <row r="27" spans="1:21">
      <c r="A27" s="107" t="s">
        <v>16</v>
      </c>
      <c r="B27" s="108">
        <v>2856.9873010580668</v>
      </c>
      <c r="C27" s="108">
        <v>5.549374018751994</v>
      </c>
      <c r="D27" s="108">
        <v>1212.3980661175804</v>
      </c>
      <c r="E27" s="108">
        <v>3.2314779900225172</v>
      </c>
      <c r="F27" s="108">
        <v>9931.7883007482778</v>
      </c>
      <c r="G27" s="108">
        <v>26.718736833914924</v>
      </c>
      <c r="H27" s="108">
        <v>9606.9225982315529</v>
      </c>
      <c r="I27" s="108">
        <v>30.298111360281158</v>
      </c>
      <c r="J27" s="108">
        <v>9873.4979355488176</v>
      </c>
      <c r="K27" s="108">
        <v>3.7745359979737665</v>
      </c>
      <c r="L27" s="110">
        <v>5.6362185180139329E-2</v>
      </c>
      <c r="M27" s="110">
        <v>3.5355339059327385E-3</v>
      </c>
      <c r="N27" s="110">
        <v>3.3787646800094051</v>
      </c>
      <c r="O27" s="110">
        <v>4.4547727214752454E-2</v>
      </c>
      <c r="P27" s="110">
        <v>0.72380911494494715</v>
      </c>
      <c r="Q27" s="110">
        <v>4.2426406871192892E-3</v>
      </c>
      <c r="R27" s="110">
        <v>57.418234544567206</v>
      </c>
      <c r="S27" s="110">
        <v>0.19516147160748826</v>
      </c>
      <c r="T27" s="110">
        <v>0.62591689857944199</v>
      </c>
      <c r="U27" s="110">
        <v>4.9497474683058368E-3</v>
      </c>
    </row>
    <row r="28" spans="1:21">
      <c r="A28" s="107" t="s">
        <v>17</v>
      </c>
      <c r="B28" s="108">
        <v>2932.353492783981</v>
      </c>
      <c r="C28" s="108">
        <v>18.343764117541379</v>
      </c>
      <c r="D28" s="108">
        <v>1047.4331735708595</v>
      </c>
      <c r="E28" s="108">
        <v>9.6753420869755242</v>
      </c>
      <c r="F28" s="108">
        <v>8592.2576570631081</v>
      </c>
      <c r="G28" s="108">
        <v>16.390735187904216</v>
      </c>
      <c r="H28" s="108">
        <v>10313.673939176937</v>
      </c>
      <c r="I28" s="108">
        <v>43.086137498039896</v>
      </c>
      <c r="J28" s="108">
        <v>9035.339083439756</v>
      </c>
      <c r="K28" s="108">
        <v>41.50858226921271</v>
      </c>
      <c r="L28" s="110">
        <v>4.32761723733769E-2</v>
      </c>
      <c r="M28" s="110">
        <v>2.1213203435596424E-3</v>
      </c>
      <c r="N28" s="110">
        <v>3.7317376331196535</v>
      </c>
      <c r="O28" s="110">
        <v>0.23970919882223968</v>
      </c>
      <c r="P28" s="110">
        <v>0.64581364926423979</v>
      </c>
      <c r="Q28" s="110">
        <v>1.4142135623730963E-3</v>
      </c>
      <c r="R28" s="110">
        <v>46.741595099583463</v>
      </c>
      <c r="S28" s="110">
        <v>3.0405591591021651E-2</v>
      </c>
      <c r="T28" s="110">
        <v>0.5126561958076955</v>
      </c>
      <c r="U28" s="110">
        <v>2.8284271247461908E-2</v>
      </c>
    </row>
    <row r="29" spans="1:21">
      <c r="A29" s="107" t="s">
        <v>18</v>
      </c>
      <c r="B29" s="108">
        <v>2330.7354999999998</v>
      </c>
      <c r="C29" s="108">
        <v>37.160582671696872</v>
      </c>
      <c r="D29" s="108">
        <v>1198.809</v>
      </c>
      <c r="E29" s="108">
        <v>28.81742976047649</v>
      </c>
      <c r="F29" s="108">
        <v>8078.6299999999992</v>
      </c>
      <c r="G29" s="108">
        <v>207.80454085510269</v>
      </c>
      <c r="H29" s="108">
        <v>7343.2435000000005</v>
      </c>
      <c r="I29" s="108">
        <v>200.80206240101211</v>
      </c>
      <c r="J29" s="108">
        <v>8474.8525000000009</v>
      </c>
      <c r="K29" s="108">
        <v>323.69722097123417</v>
      </c>
      <c r="L29" s="110">
        <v>8.5999999999999993E-2</v>
      </c>
      <c r="M29" s="110">
        <v>1.4142135623730866E-3</v>
      </c>
      <c r="N29" s="110">
        <v>3.4485000000000001</v>
      </c>
      <c r="O29" s="110">
        <v>8.1317279836452802E-2</v>
      </c>
      <c r="P29" s="110">
        <v>0.60599999999999998</v>
      </c>
      <c r="Q29" s="110">
        <v>2.1213203435596444E-2</v>
      </c>
      <c r="R29" s="110">
        <v>61.533999999999999</v>
      </c>
      <c r="S29" s="110">
        <v>1.2756206332605331</v>
      </c>
      <c r="T29" s="110">
        <v>0.39</v>
      </c>
      <c r="U29" s="110">
        <v>3.2526911934581175E-2</v>
      </c>
    </row>
    <row r="30" spans="1:21">
      <c r="A30" s="107" t="s">
        <v>19</v>
      </c>
      <c r="B30" s="108">
        <v>2435.1579999999999</v>
      </c>
      <c r="C30" s="108">
        <v>50.532679010715391</v>
      </c>
      <c r="D30" s="108">
        <v>1166.1354999999999</v>
      </c>
      <c r="E30" s="108">
        <v>23.991425978878272</v>
      </c>
      <c r="F30" s="108">
        <v>8602.1150000000016</v>
      </c>
      <c r="G30" s="108">
        <v>153.78865384026207</v>
      </c>
      <c r="H30" s="108">
        <v>7894.5964999999997</v>
      </c>
      <c r="I30" s="108">
        <v>135.19245260183709</v>
      </c>
      <c r="J30" s="108">
        <v>9080.2985000000008</v>
      </c>
      <c r="K30" s="108">
        <v>222.53852485468579</v>
      </c>
      <c r="L30" s="110">
        <v>7.8999999999999987E-2</v>
      </c>
      <c r="M30" s="110">
        <v>1.1313708498984897E-2</v>
      </c>
      <c r="N30" s="110">
        <v>3.2945000000000002</v>
      </c>
      <c r="O30" s="110">
        <v>1.06066017177983E-2</v>
      </c>
      <c r="P30" s="110">
        <v>0.65549999999999997</v>
      </c>
      <c r="Q30" s="110">
        <v>6.3639610306789338E-3</v>
      </c>
      <c r="R30" s="110">
        <v>58.316499999999998</v>
      </c>
      <c r="S30" s="110">
        <v>1.4813887065858162</v>
      </c>
      <c r="T30" s="110">
        <v>0.41549999999999998</v>
      </c>
      <c r="U30" s="110">
        <v>4.9497474683058368E-3</v>
      </c>
    </row>
    <row r="31" spans="1:21">
      <c r="A31" s="107" t="s">
        <v>20</v>
      </c>
      <c r="B31" s="108">
        <v>2532.3815000000004</v>
      </c>
      <c r="C31" s="108">
        <v>19.399474541852893</v>
      </c>
      <c r="D31" s="108">
        <v>1022.6780000000001</v>
      </c>
      <c r="E31" s="108">
        <v>15.245222202382006</v>
      </c>
      <c r="F31" s="108">
        <v>8777.8545000000013</v>
      </c>
      <c r="G31" s="108">
        <v>263.68365423836997</v>
      </c>
      <c r="H31" s="108">
        <v>8671.1854999999996</v>
      </c>
      <c r="I31" s="108">
        <v>257.23766882107344</v>
      </c>
      <c r="J31" s="108">
        <v>8764.9589999999989</v>
      </c>
      <c r="K31" s="108">
        <v>481.53123270666418</v>
      </c>
      <c r="L31" s="110">
        <v>7.0500000000000007E-2</v>
      </c>
      <c r="M31" s="110">
        <v>7.7781745930520195E-3</v>
      </c>
      <c r="N31" s="110">
        <v>2.9085000000000001</v>
      </c>
      <c r="O31" s="110">
        <v>6.4346717087975958E-2</v>
      </c>
      <c r="P31" s="110">
        <v>0.61199999999999999</v>
      </c>
      <c r="Q31" s="110">
        <v>8.4852813742385784E-3</v>
      </c>
      <c r="R31" s="110">
        <v>49.833500000000001</v>
      </c>
      <c r="S31" s="110">
        <v>0.84499260351792449</v>
      </c>
      <c r="T31" s="110">
        <v>0.32600000000000001</v>
      </c>
      <c r="U31" s="110">
        <v>2.4041630560342638E-2</v>
      </c>
    </row>
    <row r="32" spans="1:21">
      <c r="A32" s="107" t="s">
        <v>21</v>
      </c>
      <c r="B32" s="108">
        <v>2781.1590000000001</v>
      </c>
      <c r="C32" s="108">
        <v>74.325407984080442</v>
      </c>
      <c r="D32" s="108">
        <v>998.25649999999996</v>
      </c>
      <c r="E32" s="108">
        <v>29.471503533074095</v>
      </c>
      <c r="F32" s="108">
        <v>8816.6</v>
      </c>
      <c r="G32" s="108">
        <v>58.538541987309564</v>
      </c>
      <c r="H32" s="108">
        <v>9967.2265000000007</v>
      </c>
      <c r="I32" s="108">
        <v>103.50558352330494</v>
      </c>
      <c r="J32" s="108">
        <v>9110.2799999999988</v>
      </c>
      <c r="K32" s="108">
        <v>79.908723128329228</v>
      </c>
      <c r="L32" s="110">
        <v>0.10899999999999999</v>
      </c>
      <c r="M32" s="110">
        <v>4.9497474683058332E-2</v>
      </c>
      <c r="N32" s="110">
        <v>3.2845</v>
      </c>
      <c r="O32" s="110">
        <v>0.7771103525240145</v>
      </c>
      <c r="P32" s="110">
        <v>0.65050000000000008</v>
      </c>
      <c r="Q32" s="110">
        <v>3.1819805153394672E-2</v>
      </c>
      <c r="R32" s="110">
        <v>47.302499999999995</v>
      </c>
      <c r="S32" s="110">
        <v>0.53810826048296467</v>
      </c>
      <c r="T32" s="110">
        <v>0.26500000000000001</v>
      </c>
      <c r="U32" s="110">
        <v>8.4852813742385784E-3</v>
      </c>
    </row>
  </sheetData>
  <mergeCells count="10">
    <mergeCell ref="U1:W1"/>
    <mergeCell ref="X1:Z1"/>
    <mergeCell ref="AA1:AC1"/>
    <mergeCell ref="AD1:AF1"/>
    <mergeCell ref="C1:E1"/>
    <mergeCell ref="F1:H1"/>
    <mergeCell ref="I1:K1"/>
    <mergeCell ref="L1:N1"/>
    <mergeCell ref="O1:Q1"/>
    <mergeCell ref="R1:T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E8C81-4ADC-484E-B016-1E91C757B46E}">
  <dimension ref="A1:AC46"/>
  <sheetViews>
    <sheetView topLeftCell="A52" zoomScale="60" zoomScaleNormal="60" workbookViewId="0">
      <selection activeCell="O92" sqref="O92"/>
    </sheetView>
  </sheetViews>
  <sheetFormatPr defaultRowHeight="14.45"/>
  <cols>
    <col min="1" max="1" width="21.85546875" bestFit="1" customWidth="1"/>
    <col min="2" max="2" width="23" bestFit="1" customWidth="1"/>
    <col min="3" max="3" width="23.7109375" bestFit="1" customWidth="1"/>
    <col min="4" max="4" width="27.7109375" bestFit="1" customWidth="1"/>
    <col min="5" max="5" width="21.28515625" bestFit="1" customWidth="1"/>
    <col min="6" max="6" width="28" bestFit="1" customWidth="1"/>
    <col min="7" max="7" width="32" bestFit="1" customWidth="1"/>
    <col min="8" max="8" width="19.7109375" bestFit="1" customWidth="1"/>
    <col min="9" max="9" width="28" bestFit="1" customWidth="1"/>
    <col min="10" max="10" width="32" bestFit="1" customWidth="1"/>
    <col min="11" max="11" width="5.5703125" bestFit="1" customWidth="1"/>
    <col min="12" max="12" width="24.42578125" bestFit="1" customWidth="1"/>
    <col min="13" max="13" width="28.42578125" bestFit="1" customWidth="1"/>
    <col min="14" max="14" width="5.5703125" bestFit="1" customWidth="1"/>
    <col min="15" max="15" width="28" bestFit="1" customWidth="1"/>
    <col min="16" max="16" width="32" bestFit="1" customWidth="1"/>
    <col min="17" max="17" width="5.5703125" bestFit="1" customWidth="1"/>
    <col min="18" max="18" width="24.140625" bestFit="1" customWidth="1"/>
    <col min="19" max="19" width="28.28515625" bestFit="1" customWidth="1"/>
    <col min="20" max="20" width="5.5703125" bestFit="1" customWidth="1"/>
    <col min="21" max="21" width="29" bestFit="1" customWidth="1"/>
    <col min="22" max="22" width="33" bestFit="1" customWidth="1"/>
    <col min="23" max="23" width="5.5703125" bestFit="1" customWidth="1"/>
    <col min="24" max="24" width="27.28515625" bestFit="1" customWidth="1"/>
    <col min="25" max="25" width="31.28515625" bestFit="1" customWidth="1"/>
    <col min="26" max="26" width="5.5703125" bestFit="1" customWidth="1"/>
    <col min="27" max="27" width="28.42578125" bestFit="1" customWidth="1"/>
    <col min="28" max="28" width="32.5703125" bestFit="1" customWidth="1"/>
    <col min="29" max="29" width="5.5703125" bestFit="1" customWidth="1"/>
  </cols>
  <sheetData>
    <row r="1" spans="1:29" s="1" customFormat="1">
      <c r="A1" s="59" t="s">
        <v>64</v>
      </c>
      <c r="B1" s="58" t="s">
        <v>61</v>
      </c>
      <c r="C1" s="112" t="s">
        <v>267</v>
      </c>
      <c r="D1" s="112" t="s">
        <v>268</v>
      </c>
      <c r="E1" s="58" t="s">
        <v>63</v>
      </c>
      <c r="F1" s="58" t="s">
        <v>269</v>
      </c>
      <c r="G1" s="58" t="s">
        <v>270</v>
      </c>
      <c r="H1" s="58" t="s">
        <v>63</v>
      </c>
      <c r="I1" s="58" t="s">
        <v>271</v>
      </c>
      <c r="J1" s="58" t="s">
        <v>272</v>
      </c>
      <c r="K1" s="58" t="s">
        <v>63</v>
      </c>
      <c r="L1" s="58" t="s">
        <v>273</v>
      </c>
      <c r="M1" s="58" t="s">
        <v>274</v>
      </c>
      <c r="N1" s="58" t="s">
        <v>63</v>
      </c>
      <c r="O1" s="58" t="s">
        <v>275</v>
      </c>
      <c r="P1" s="58" t="s">
        <v>276</v>
      </c>
      <c r="Q1" s="58" t="s">
        <v>63</v>
      </c>
      <c r="R1" s="58" t="s">
        <v>277</v>
      </c>
      <c r="S1" s="58" t="s">
        <v>278</v>
      </c>
      <c r="T1" s="58" t="s">
        <v>63</v>
      </c>
      <c r="U1" s="58" t="s">
        <v>279</v>
      </c>
      <c r="V1" s="58" t="s">
        <v>280</v>
      </c>
      <c r="W1" s="58" t="s">
        <v>63</v>
      </c>
      <c r="X1" s="58" t="s">
        <v>281</v>
      </c>
      <c r="Y1" s="58" t="s">
        <v>282</v>
      </c>
      <c r="Z1" s="58" t="s">
        <v>63</v>
      </c>
      <c r="AA1" s="58" t="s">
        <v>283</v>
      </c>
      <c r="AB1" s="58" t="s">
        <v>284</v>
      </c>
      <c r="AC1" s="58" t="s">
        <v>63</v>
      </c>
    </row>
    <row r="2" spans="1:29" s="1" customFormat="1">
      <c r="A2" s="113" t="s">
        <v>285</v>
      </c>
      <c r="B2" s="107">
        <v>0.25479248625475714</v>
      </c>
      <c r="C2" s="54">
        <v>2.9952238094042629</v>
      </c>
      <c r="D2" s="54">
        <f>C2/B2</f>
        <v>11.755542141103229</v>
      </c>
      <c r="E2" s="54">
        <v>0.70852692384451621</v>
      </c>
      <c r="F2" s="54">
        <v>0.1735832763059276</v>
      </c>
      <c r="G2" s="54">
        <f>F2/B2</f>
        <v>0.6812731366511664</v>
      </c>
      <c r="H2" s="54">
        <v>1.5703498920671032E-2</v>
      </c>
      <c r="I2" s="54">
        <v>3.3260572559242453E-2</v>
      </c>
      <c r="J2" s="1">
        <f>I2/B2</f>
        <v>0.13053984851808578</v>
      </c>
      <c r="K2" s="54">
        <v>8.5058464232933128E-3</v>
      </c>
      <c r="L2" s="54">
        <v>0.1638655462184874</v>
      </c>
      <c r="M2" s="54">
        <f>L2/B2</f>
        <v>0.64313335384091574</v>
      </c>
      <c r="N2" s="54">
        <v>2.7164603877947106E-2</v>
      </c>
      <c r="O2" s="54">
        <v>3.2520371176693451E-2</v>
      </c>
      <c r="P2" s="1">
        <f>O2/B2</f>
        <v>0.12763473387585531</v>
      </c>
      <c r="Q2" s="54">
        <v>1.4170684915575549E-2</v>
      </c>
      <c r="R2" s="54">
        <v>0.14633112094395279</v>
      </c>
      <c r="S2" s="54">
        <f>R2/B2</f>
        <v>0.57431489874329322</v>
      </c>
      <c r="T2" s="54">
        <v>6.7321154462524652E-2</v>
      </c>
      <c r="U2" s="54">
        <v>0.20067518025174141</v>
      </c>
      <c r="V2" s="54">
        <f>U2/B2</f>
        <v>0.7876024258073846</v>
      </c>
      <c r="W2" s="54">
        <v>9.9229413059092331E-2</v>
      </c>
      <c r="X2" s="54">
        <v>0.32973167901261347</v>
      </c>
      <c r="Y2" s="54">
        <f>X2/B2</f>
        <v>1.2941185348885349</v>
      </c>
      <c r="Z2" s="54">
        <v>0.13536973144164885</v>
      </c>
      <c r="AA2" s="54">
        <v>0.65595429501070812</v>
      </c>
      <c r="AB2" s="54">
        <f>AA2/B2</f>
        <v>2.574464830783294</v>
      </c>
      <c r="AC2" s="54">
        <v>0.18841861077137934</v>
      </c>
    </row>
    <row r="3" spans="1:29" s="1" customFormat="1">
      <c r="A3" s="113" t="s">
        <v>286</v>
      </c>
      <c r="B3" s="107">
        <v>0.2665647596489939</v>
      </c>
      <c r="C3" s="54">
        <v>3.7259150704189992</v>
      </c>
      <c r="D3" s="54">
        <f t="shared" ref="D3:D14" si="0">C3/B3</f>
        <v>13.977523042900327</v>
      </c>
      <c r="E3" s="54">
        <v>0.12457313877881643</v>
      </c>
      <c r="F3" s="54">
        <v>0.13021800762537883</v>
      </c>
      <c r="G3" s="54">
        <f t="shared" ref="G3:G14" si="1">F3/B3</f>
        <v>0.4885042111224559</v>
      </c>
      <c r="H3" s="54">
        <v>3.0715721293110038E-2</v>
      </c>
      <c r="I3" s="54">
        <v>0</v>
      </c>
      <c r="J3" s="1">
        <f t="shared" ref="J3:J14" si="2">I3/B3</f>
        <v>0</v>
      </c>
      <c r="K3" s="54">
        <v>0</v>
      </c>
      <c r="L3" s="54">
        <v>0.1112843952980995</v>
      </c>
      <c r="M3" s="54">
        <f t="shared" ref="M3:M14" si="3">L3/B3</f>
        <v>0.41747602137895545</v>
      </c>
      <c r="N3" s="54">
        <v>2.2067207900850105E-2</v>
      </c>
      <c r="O3" s="54">
        <v>0</v>
      </c>
      <c r="P3" s="1">
        <f t="shared" ref="P3:P14" si="4">O3/B3</f>
        <v>0</v>
      </c>
      <c r="Q3" s="54">
        <v>0</v>
      </c>
      <c r="R3" s="54">
        <v>5.3075835791543756E-2</v>
      </c>
      <c r="S3" s="54">
        <f t="shared" ref="S3:S14" si="5">R3/B3</f>
        <v>0.19911047454822139</v>
      </c>
      <c r="T3" s="54">
        <v>1.4118669690727E-2</v>
      </c>
      <c r="U3" s="54">
        <v>5.5340848914416069E-2</v>
      </c>
      <c r="V3" s="54">
        <f t="shared" ref="V3:V14" si="6">U3/B3</f>
        <v>0.20760752091644663</v>
      </c>
      <c r="W3" s="54">
        <v>2.1246471932572685E-2</v>
      </c>
      <c r="X3" s="54">
        <v>0.10779746862900338</v>
      </c>
      <c r="Y3" s="54">
        <f t="shared" ref="Y3:Y14" si="7">X3/B3</f>
        <v>0.40439504745844318</v>
      </c>
      <c r="Z3" s="54">
        <v>3.512028355307089E-2</v>
      </c>
      <c r="AA3" s="54">
        <v>0.26474831116505781</v>
      </c>
      <c r="AB3" s="54">
        <f t="shared" ref="AB3:AB14" si="8">AA3/B3</f>
        <v>0.99318571409691236</v>
      </c>
      <c r="AC3" s="54">
        <v>8.1056401170859688E-2</v>
      </c>
    </row>
    <row r="4" spans="1:29" s="1" customFormat="1">
      <c r="A4" s="113" t="s">
        <v>287</v>
      </c>
      <c r="B4" s="107">
        <v>0.24876220922669601</v>
      </c>
      <c r="C4" s="54">
        <v>3.6462057213867896</v>
      </c>
      <c r="D4" s="54">
        <f t="shared" si="0"/>
        <v>14.657394033930681</v>
      </c>
      <c r="E4" s="54">
        <v>0.4518294814977093</v>
      </c>
      <c r="F4" s="54">
        <v>0.1001482712549288</v>
      </c>
      <c r="G4" s="54">
        <f t="shared" si="1"/>
        <v>0.40258635572601814</v>
      </c>
      <c r="H4" s="54">
        <v>5.1500102843286587E-3</v>
      </c>
      <c r="I4" s="54">
        <v>0</v>
      </c>
      <c r="J4" s="1">
        <f t="shared" si="2"/>
        <v>0</v>
      </c>
      <c r="K4" s="54">
        <v>0</v>
      </c>
      <c r="L4" s="54">
        <v>8.8197964279492641E-2</v>
      </c>
      <c r="M4" s="54">
        <f t="shared" si="3"/>
        <v>0.35454727851816992</v>
      </c>
      <c r="N4" s="54">
        <v>8.5875577795972088E-3</v>
      </c>
      <c r="O4" s="54">
        <v>0</v>
      </c>
      <c r="P4" s="1">
        <f t="shared" si="4"/>
        <v>0</v>
      </c>
      <c r="Q4" s="54">
        <v>0</v>
      </c>
      <c r="R4" s="54">
        <v>2.7031096361848573E-2</v>
      </c>
      <c r="S4" s="54">
        <f t="shared" si="5"/>
        <v>0.10866239066567882</v>
      </c>
      <c r="T4" s="54">
        <v>5.6448605504014534E-3</v>
      </c>
      <c r="U4" s="54">
        <v>2.144690211413907E-2</v>
      </c>
      <c r="V4" s="54">
        <f t="shared" si="6"/>
        <v>8.6214470360305384E-2</v>
      </c>
      <c r="W4" s="54">
        <v>2.6283552805927922E-3</v>
      </c>
      <c r="X4" s="54">
        <v>5.733815602529202E-2</v>
      </c>
      <c r="Y4" s="54">
        <f t="shared" si="7"/>
        <v>0.23049383667854464</v>
      </c>
      <c r="Z4" s="54">
        <v>7.1283554018079223E-3</v>
      </c>
      <c r="AA4" s="54">
        <v>0.12451940492002263</v>
      </c>
      <c r="AB4" s="54">
        <f t="shared" si="8"/>
        <v>0.50055595384485663</v>
      </c>
      <c r="AC4" s="54">
        <v>1.8298129813047001E-2</v>
      </c>
    </row>
    <row r="5" spans="1:29" s="1" customFormat="1">
      <c r="A5" s="113" t="s">
        <v>288</v>
      </c>
      <c r="B5" s="107">
        <v>0.24045908002074934</v>
      </c>
      <c r="C5" s="54">
        <v>3.8618419400999171</v>
      </c>
      <c r="D5" s="54">
        <f t="shared" si="0"/>
        <v>16.060287429223621</v>
      </c>
      <c r="E5" s="54">
        <v>0.10023988192365989</v>
      </c>
      <c r="F5" s="54">
        <v>9.4551438719979147E-2</v>
      </c>
      <c r="G5" s="54">
        <f t="shared" si="1"/>
        <v>0.39321217860361213</v>
      </c>
      <c r="H5" s="54">
        <v>1.4747233028950088E-3</v>
      </c>
      <c r="I5" s="54">
        <v>0</v>
      </c>
      <c r="J5" s="1">
        <f t="shared" si="2"/>
        <v>0</v>
      </c>
      <c r="K5" s="54">
        <v>0</v>
      </c>
      <c r="L5" s="54">
        <v>0.10193534472031655</v>
      </c>
      <c r="M5" s="54">
        <f t="shared" si="3"/>
        <v>0.42391971520277172</v>
      </c>
      <c r="N5" s="54">
        <v>1.0605399225076341E-2</v>
      </c>
      <c r="O5" s="54">
        <v>0</v>
      </c>
      <c r="P5" s="1">
        <f t="shared" si="4"/>
        <v>0</v>
      </c>
      <c r="Q5" s="54">
        <v>0</v>
      </c>
      <c r="R5" s="54">
        <v>2.002212389380531E-2</v>
      </c>
      <c r="S5" s="54">
        <f t="shared" si="5"/>
        <v>8.3266241774182917E-2</v>
      </c>
      <c r="T5" s="54">
        <v>2.755074356393012E-3</v>
      </c>
      <c r="U5" s="54">
        <v>1.8048087498472441E-2</v>
      </c>
      <c r="V5" s="54">
        <f t="shared" si="6"/>
        <v>7.5056793434105554E-2</v>
      </c>
      <c r="W5" s="54">
        <v>3.0496122228247896E-3</v>
      </c>
      <c r="X5" s="54">
        <v>5.3984143682960423E-2</v>
      </c>
      <c r="Y5" s="54">
        <f t="shared" si="7"/>
        <v>0.22450449231653927</v>
      </c>
      <c r="Z5" s="54">
        <v>2.0399596954071091E-3</v>
      </c>
      <c r="AA5" s="54">
        <v>8.1159401869634024E-2</v>
      </c>
      <c r="AB5" s="54">
        <f t="shared" si="8"/>
        <v>0.33751855767987943</v>
      </c>
      <c r="AC5" s="54">
        <v>7.3066697141488772E-3</v>
      </c>
    </row>
    <row r="6" spans="1:29" s="1" customFormat="1">
      <c r="A6" s="113" t="s">
        <v>13</v>
      </c>
      <c r="B6" s="107">
        <v>0.22939153077564695</v>
      </c>
      <c r="C6" s="54">
        <v>3.9427076795621723</v>
      </c>
      <c r="D6" s="54">
        <f t="shared" si="0"/>
        <v>17.18767761926782</v>
      </c>
      <c r="E6" s="54">
        <v>0.65161914477216942</v>
      </c>
      <c r="F6" s="54">
        <v>8.9427118975461919E-2</v>
      </c>
      <c r="G6" s="54">
        <f t="shared" si="1"/>
        <v>0.3898449026129252</v>
      </c>
      <c r="H6" s="54">
        <v>7.9151164772567843E-3</v>
      </c>
      <c r="I6" s="54">
        <v>0</v>
      </c>
      <c r="J6" s="1">
        <f t="shared" si="2"/>
        <v>0</v>
      </c>
      <c r="K6" s="54">
        <v>0</v>
      </c>
      <c r="L6" s="54">
        <v>9.5676375189760007E-2</v>
      </c>
      <c r="M6" s="54">
        <f t="shared" si="3"/>
        <v>0.41708765300204087</v>
      </c>
      <c r="N6" s="54">
        <v>3.5018934388111604E-3</v>
      </c>
      <c r="O6" s="54">
        <v>0</v>
      </c>
      <c r="P6" s="1">
        <f t="shared" si="4"/>
        <v>0</v>
      </c>
      <c r="Q6" s="54">
        <v>0</v>
      </c>
      <c r="R6" s="54">
        <v>1.6331735496558503E-2</v>
      </c>
      <c r="S6" s="54">
        <f t="shared" si="5"/>
        <v>7.1195895686887931E-2</v>
      </c>
      <c r="T6" s="54">
        <v>3.6806750471054918E-3</v>
      </c>
      <c r="U6" s="54">
        <v>1.3172634323190354E-2</v>
      </c>
      <c r="V6" s="54">
        <f t="shared" si="6"/>
        <v>5.7424240025991447E-2</v>
      </c>
      <c r="W6" s="54">
        <v>5.2567105611855893E-4</v>
      </c>
      <c r="X6" s="54">
        <v>4.2821274795830935E-2</v>
      </c>
      <c r="Y6" s="54">
        <f t="shared" si="7"/>
        <v>0.18667330328647425</v>
      </c>
      <c r="Z6" s="54">
        <v>1.8290616065962219E-3</v>
      </c>
      <c r="AA6" s="54">
        <v>7.319343912250488E-2</v>
      </c>
      <c r="AB6" s="54">
        <f t="shared" si="8"/>
        <v>0.31907646666384848</v>
      </c>
      <c r="AC6" s="54">
        <v>4.4981404574803395E-3</v>
      </c>
    </row>
    <row r="7" spans="1:29" s="1" customFormat="1">
      <c r="A7" s="113" t="s">
        <v>14</v>
      </c>
      <c r="B7" s="107">
        <v>0.20534708516324557</v>
      </c>
      <c r="C7" s="54">
        <v>4.0205341676499389</v>
      </c>
      <c r="D7" s="54">
        <f t="shared" si="0"/>
        <v>19.579212261297595</v>
      </c>
      <c r="E7" s="54">
        <v>0.18105709402667491</v>
      </c>
      <c r="F7" s="54">
        <v>7.5919770586893476E-2</v>
      </c>
      <c r="G7" s="54">
        <f t="shared" si="1"/>
        <v>0.36971438151429925</v>
      </c>
      <c r="H7" s="54">
        <v>1.0772392876615865E-2</v>
      </c>
      <c r="I7" s="54">
        <v>0</v>
      </c>
      <c r="J7" s="1">
        <f t="shared" si="2"/>
        <v>0</v>
      </c>
      <c r="K7" s="54">
        <v>0</v>
      </c>
      <c r="L7" s="54">
        <v>0.10224642670493667</v>
      </c>
      <c r="M7" s="54">
        <f t="shared" si="3"/>
        <v>0.49792002951321868</v>
      </c>
      <c r="N7" s="54">
        <v>1.1690575583836921E-2</v>
      </c>
      <c r="O7" s="54">
        <v>0</v>
      </c>
      <c r="P7" s="1">
        <f t="shared" si="4"/>
        <v>0</v>
      </c>
      <c r="Q7" s="54">
        <v>0</v>
      </c>
      <c r="R7" s="54">
        <v>1.3812069813176007E-2</v>
      </c>
      <c r="S7" s="54">
        <f t="shared" si="5"/>
        <v>6.7262069009627154E-2</v>
      </c>
      <c r="T7" s="54">
        <v>4.1239204482917471E-3</v>
      </c>
      <c r="U7" s="54">
        <v>1.2531060328322945E-2</v>
      </c>
      <c r="V7" s="54">
        <f t="shared" si="6"/>
        <v>6.1023804250063152E-2</v>
      </c>
      <c r="W7" s="54">
        <v>8.3531291109250423E-4</v>
      </c>
      <c r="X7" s="54">
        <v>4.8791796362374323E-2</v>
      </c>
      <c r="Y7" s="54">
        <f t="shared" si="7"/>
        <v>0.23760647161651269</v>
      </c>
      <c r="Z7" s="54">
        <v>2.7109990688962884E-3</v>
      </c>
      <c r="AA7" s="54">
        <v>5.509128923403471E-2</v>
      </c>
      <c r="AB7" s="54">
        <f t="shared" si="8"/>
        <v>0.26828376546099292</v>
      </c>
      <c r="AC7" s="54">
        <v>1.3723597359785204E-2</v>
      </c>
    </row>
    <row r="8" spans="1:29" s="1" customFormat="1">
      <c r="A8" s="113" t="s">
        <v>15</v>
      </c>
      <c r="B8" s="107">
        <v>0.19496614247882196</v>
      </c>
      <c r="C8" s="54">
        <v>4.1821307082067634</v>
      </c>
      <c r="D8" s="54">
        <f t="shared" si="0"/>
        <v>21.450548567226456</v>
      </c>
      <c r="E8" s="54">
        <v>0.46491698368006479</v>
      </c>
      <c r="F8" s="54">
        <v>8.4408707270179545E-2</v>
      </c>
      <c r="G8" s="54">
        <f t="shared" si="1"/>
        <v>0.43294033618861988</v>
      </c>
      <c r="H8" s="54">
        <v>1.0611095015361718E-2</v>
      </c>
      <c r="I8" s="54">
        <v>0</v>
      </c>
      <c r="J8" s="1">
        <f t="shared" si="2"/>
        <v>0</v>
      </c>
      <c r="K8" s="54">
        <v>0</v>
      </c>
      <c r="L8" s="54">
        <v>9.7107352319012505E-2</v>
      </c>
      <c r="M8" s="54">
        <f t="shared" si="3"/>
        <v>0.49807290170682178</v>
      </c>
      <c r="N8" s="54">
        <v>2.5011848614892449E-2</v>
      </c>
      <c r="O8" s="54">
        <v>0</v>
      </c>
      <c r="P8" s="1">
        <f t="shared" si="4"/>
        <v>0</v>
      </c>
      <c r="Q8" s="54">
        <v>0</v>
      </c>
      <c r="R8" s="54">
        <v>1.4552605703048182E-2</v>
      </c>
      <c r="S8" s="54">
        <f t="shared" si="5"/>
        <v>7.4641707108858382E-2</v>
      </c>
      <c r="T8" s="54">
        <v>3.389523656130212E-4</v>
      </c>
      <c r="U8" s="54">
        <v>1.1181718196260539E-2</v>
      </c>
      <c r="V8" s="54">
        <f t="shared" si="6"/>
        <v>5.7352102545061866E-2</v>
      </c>
      <c r="W8" s="54">
        <v>3.0820166029964799E-3</v>
      </c>
      <c r="X8" s="54">
        <v>5.031289654349641E-2</v>
      </c>
      <c r="Y8" s="54">
        <f t="shared" si="7"/>
        <v>0.25805966053291335</v>
      </c>
      <c r="Z8" s="54">
        <v>1.9364279063544931E-2</v>
      </c>
      <c r="AA8" s="54">
        <v>7.3886131535298716E-2</v>
      </c>
      <c r="AB8" s="54">
        <f t="shared" si="8"/>
        <v>0.37896903839765173</v>
      </c>
      <c r="AC8" s="54">
        <v>3.6519867630312411E-2</v>
      </c>
    </row>
    <row r="9" spans="1:29" s="1" customFormat="1">
      <c r="A9" s="113" t="s">
        <v>16</v>
      </c>
      <c r="B9" s="107">
        <v>0.16855272679079111</v>
      </c>
      <c r="C9" s="54">
        <v>4.3057044410413479</v>
      </c>
      <c r="D9" s="54">
        <f t="shared" si="0"/>
        <v>25.545148530202184</v>
      </c>
      <c r="E9" s="54">
        <v>3.2374814655912597E-2</v>
      </c>
      <c r="F9" s="54">
        <v>7.9936129305569134E-2</v>
      </c>
      <c r="G9" s="54">
        <f t="shared" si="1"/>
        <v>0.47424999184253153</v>
      </c>
      <c r="H9" s="54">
        <v>1.0069595052579958E-2</v>
      </c>
      <c r="I9" s="54">
        <v>0</v>
      </c>
      <c r="J9" s="1">
        <f t="shared" si="2"/>
        <v>0</v>
      </c>
      <c r="K9" s="54">
        <v>0</v>
      </c>
      <c r="L9" s="54">
        <v>9.7281558230399773E-2</v>
      </c>
      <c r="M9" s="54">
        <f t="shared" si="3"/>
        <v>0.57715802100992619</v>
      </c>
      <c r="N9" s="54">
        <v>1.1227175949555379E-2</v>
      </c>
      <c r="O9" s="54">
        <v>0</v>
      </c>
      <c r="P9" s="1">
        <f t="shared" si="4"/>
        <v>0</v>
      </c>
      <c r="Q9" s="54">
        <v>0</v>
      </c>
      <c r="R9" s="54">
        <v>1.0966691248770893E-2</v>
      </c>
      <c r="S9" s="54">
        <f t="shared" si="5"/>
        <v>6.5063861365961942E-2</v>
      </c>
      <c r="T9" s="54">
        <v>3.2635029048125449E-3</v>
      </c>
      <c r="U9" s="54">
        <v>1.167308240661534E-2</v>
      </c>
      <c r="V9" s="54">
        <f t="shared" si="6"/>
        <v>6.9254782339440019E-2</v>
      </c>
      <c r="W9" s="54">
        <v>2.0918827644170021E-3</v>
      </c>
      <c r="X9" s="54">
        <v>4.6657917855167402E-2</v>
      </c>
      <c r="Y9" s="54">
        <f t="shared" si="7"/>
        <v>0.27681496908133413</v>
      </c>
      <c r="Z9" s="54">
        <v>7.7457116254179966E-3</v>
      </c>
      <c r="AA9" s="54">
        <v>5.1929688542613289E-2</v>
      </c>
      <c r="AB9" s="54">
        <f t="shared" si="8"/>
        <v>0.30809165494586632</v>
      </c>
      <c r="AC9" s="54">
        <v>2.4130883373296107E-3</v>
      </c>
    </row>
    <row r="10" spans="1:29" s="1" customFormat="1">
      <c r="A10" s="113" t="s">
        <v>17</v>
      </c>
      <c r="B10" s="107">
        <v>0.15019812620948753</v>
      </c>
      <c r="C10" s="54">
        <v>4.851067268345342</v>
      </c>
      <c r="D10" s="54">
        <f t="shared" si="0"/>
        <v>32.297788199963016</v>
      </c>
      <c r="E10" s="54">
        <v>0.18590776879280416</v>
      </c>
      <c r="F10" s="54">
        <v>9.2001499006093779E-2</v>
      </c>
      <c r="G10" s="54">
        <f t="shared" si="1"/>
        <v>0.61253426609181194</v>
      </c>
      <c r="H10" s="54">
        <v>3.0070529848093431E-3</v>
      </c>
      <c r="I10" s="54">
        <v>0</v>
      </c>
      <c r="J10" s="1">
        <f t="shared" si="2"/>
        <v>0</v>
      </c>
      <c r="K10" s="54">
        <v>0</v>
      </c>
      <c r="L10" s="54">
        <v>0.10602503587812223</v>
      </c>
      <c r="M10" s="54">
        <f t="shared" si="3"/>
        <v>0.70590118900847498</v>
      </c>
      <c r="N10" s="54">
        <v>2.023707263634587E-2</v>
      </c>
      <c r="O10" s="54">
        <v>0</v>
      </c>
      <c r="P10" s="1">
        <f t="shared" si="4"/>
        <v>0</v>
      </c>
      <c r="Q10" s="54">
        <v>0</v>
      </c>
      <c r="R10" s="54">
        <v>1.4872173058013766E-2</v>
      </c>
      <c r="S10" s="54">
        <f t="shared" si="5"/>
        <v>9.9017034588506997E-2</v>
      </c>
      <c r="T10" s="54">
        <v>2.8680584782640262E-4</v>
      </c>
      <c r="U10" s="54">
        <v>2.6495478430893317E-2</v>
      </c>
      <c r="V10" s="54">
        <f t="shared" si="6"/>
        <v>0.1764035217985275</v>
      </c>
      <c r="W10" s="54">
        <v>3.5644818188860995E-4</v>
      </c>
      <c r="X10" s="54">
        <v>6.2660650954958083E-2</v>
      </c>
      <c r="Y10" s="54">
        <f t="shared" si="7"/>
        <v>0.41718663565457992</v>
      </c>
      <c r="Z10" s="54">
        <v>8.5893039806614465E-4</v>
      </c>
      <c r="AA10" s="54">
        <v>4.5444435265034284E-2</v>
      </c>
      <c r="AB10" s="54">
        <f t="shared" si="8"/>
        <v>0.30256326368313713</v>
      </c>
      <c r="AC10" s="54">
        <v>5.0149098407073532E-3</v>
      </c>
    </row>
    <row r="11" spans="1:29" s="1" customFormat="1">
      <c r="A11" s="113" t="s">
        <v>289</v>
      </c>
      <c r="B11" s="107">
        <v>0.22087830294008207</v>
      </c>
      <c r="C11" s="54">
        <v>6.1295408329776819</v>
      </c>
      <c r="D11" s="54">
        <f t="shared" si="0"/>
        <v>27.7507602665729</v>
      </c>
      <c r="E11" s="54">
        <v>0.23873485669638947</v>
      </c>
      <c r="F11" s="54">
        <v>7.3899371069182387E-2</v>
      </c>
      <c r="G11" s="54">
        <f t="shared" si="1"/>
        <v>0.33457053085575889</v>
      </c>
      <c r="H11" s="54">
        <v>8.0303292352954542E-3</v>
      </c>
      <c r="I11" s="54">
        <v>0</v>
      </c>
      <c r="J11" s="1">
        <f t="shared" si="2"/>
        <v>0</v>
      </c>
      <c r="K11" s="54">
        <v>0</v>
      </c>
      <c r="L11" s="54">
        <v>0.14608824773739704</v>
      </c>
      <c r="M11" s="54">
        <f t="shared" si="3"/>
        <v>0.66139700365692589</v>
      </c>
      <c r="N11" s="54">
        <v>5.3320287033154787E-3</v>
      </c>
      <c r="O11" s="54">
        <v>0</v>
      </c>
      <c r="P11" s="1">
        <f t="shared" si="4"/>
        <v>0</v>
      </c>
      <c r="Q11" s="54">
        <v>0</v>
      </c>
      <c r="R11" s="54">
        <v>0</v>
      </c>
      <c r="S11" s="1">
        <f t="shared" si="5"/>
        <v>0</v>
      </c>
      <c r="T11" s="54">
        <v>0</v>
      </c>
      <c r="U11" s="54">
        <v>2.0510000407348569E-2</v>
      </c>
      <c r="V11" s="54">
        <f t="shared" si="6"/>
        <v>9.2856564607490408E-2</v>
      </c>
      <c r="W11" s="54">
        <v>3.0676146562535066E-3</v>
      </c>
      <c r="X11" s="54">
        <v>5.8983980998449079E-2</v>
      </c>
      <c r="Y11" s="54">
        <f t="shared" si="7"/>
        <v>0.26704289291125954</v>
      </c>
      <c r="Z11" s="54">
        <v>1.7792129674227396E-3</v>
      </c>
      <c r="AA11" s="54">
        <v>3.710670640645157E-2</v>
      </c>
      <c r="AB11" s="54">
        <f t="shared" si="8"/>
        <v>0.16799615857478564</v>
      </c>
      <c r="AC11" s="54">
        <v>7.0100890246446886E-4</v>
      </c>
    </row>
    <row r="12" spans="1:29" s="1" customFormat="1">
      <c r="A12" s="113" t="s">
        <v>290</v>
      </c>
      <c r="B12" s="107">
        <v>0.22210840007450242</v>
      </c>
      <c r="C12" s="54">
        <v>5.5162694876107743</v>
      </c>
      <c r="D12" s="54">
        <f t="shared" si="0"/>
        <v>24.835933651138081</v>
      </c>
      <c r="E12" s="54">
        <v>0.63582227667515678</v>
      </c>
      <c r="F12" s="54">
        <v>5.8273861895916837E-2</v>
      </c>
      <c r="G12" s="54">
        <f t="shared" si="1"/>
        <v>0.26236676269951914</v>
      </c>
      <c r="H12" s="54">
        <v>1.5380903198162744E-2</v>
      </c>
      <c r="I12" s="54">
        <v>0</v>
      </c>
      <c r="J12" s="1">
        <f t="shared" si="2"/>
        <v>0</v>
      </c>
      <c r="K12" s="54">
        <v>0</v>
      </c>
      <c r="L12" s="54">
        <v>0.12211004836287921</v>
      </c>
      <c r="M12" s="54">
        <f t="shared" si="3"/>
        <v>0.54977681313232418</v>
      </c>
      <c r="N12" s="54">
        <v>4.1764625266893663E-3</v>
      </c>
      <c r="O12" s="54">
        <v>0</v>
      </c>
      <c r="P12" s="1">
        <f t="shared" si="4"/>
        <v>0</v>
      </c>
      <c r="Q12" s="54">
        <v>0</v>
      </c>
      <c r="R12" s="54">
        <v>0</v>
      </c>
      <c r="S12" s="1">
        <f t="shared" si="5"/>
        <v>0</v>
      </c>
      <c r="T12" s="54">
        <v>0</v>
      </c>
      <c r="U12" s="54">
        <v>1.5176280092875475E-2</v>
      </c>
      <c r="V12" s="54">
        <f t="shared" si="6"/>
        <v>6.8328258128845437E-2</v>
      </c>
      <c r="W12" s="54">
        <v>4.9434682195258969E-3</v>
      </c>
      <c r="X12" s="54">
        <v>5.3298157326768111E-2</v>
      </c>
      <c r="Y12" s="54">
        <f t="shared" si="7"/>
        <v>0.23996461776722613</v>
      </c>
      <c r="Z12" s="54">
        <v>2.3735621267988723E-3</v>
      </c>
      <c r="AA12" s="54">
        <v>2.1724486359043449E-2</v>
      </c>
      <c r="AB12" s="54">
        <f t="shared" si="8"/>
        <v>9.7810287011911065E-2</v>
      </c>
      <c r="AC12" s="54">
        <v>1.1661013473687797E-2</v>
      </c>
    </row>
    <row r="13" spans="1:29" s="1" customFormat="1">
      <c r="A13" s="113" t="s">
        <v>291</v>
      </c>
      <c r="B13" s="107">
        <v>0.21865101546487486</v>
      </c>
      <c r="C13" s="54">
        <v>6.0134357818893882</v>
      </c>
      <c r="D13" s="54">
        <f t="shared" si="0"/>
        <v>27.502437018662807</v>
      </c>
      <c r="E13" s="54">
        <v>0.24390284458765912</v>
      </c>
      <c r="F13" s="54">
        <v>7.2823997132336171E-2</v>
      </c>
      <c r="G13" s="54">
        <f t="shared" si="1"/>
        <v>0.33306041125628782</v>
      </c>
      <c r="H13" s="54">
        <v>9.528095089798197E-3</v>
      </c>
      <c r="I13" s="54">
        <v>0</v>
      </c>
      <c r="J13" s="1">
        <f t="shared" si="2"/>
        <v>0</v>
      </c>
      <c r="K13" s="54">
        <v>0</v>
      </c>
      <c r="L13" s="54">
        <v>0.14513426298456206</v>
      </c>
      <c r="M13" s="54">
        <f t="shared" si="3"/>
        <v>0.66377127348798937</v>
      </c>
      <c r="N13" s="54">
        <v>3.2555290762817206E-3</v>
      </c>
      <c r="O13" s="54">
        <v>0</v>
      </c>
      <c r="P13" s="1">
        <f t="shared" si="4"/>
        <v>0</v>
      </c>
      <c r="Q13" s="54">
        <v>0</v>
      </c>
      <c r="R13" s="54">
        <v>0</v>
      </c>
      <c r="S13" s="1">
        <f t="shared" si="5"/>
        <v>0</v>
      </c>
      <c r="T13" s="54">
        <v>0</v>
      </c>
      <c r="U13" s="54">
        <v>1.6072446942848997E-2</v>
      </c>
      <c r="V13" s="54">
        <f t="shared" si="6"/>
        <v>7.3507305276754822E-2</v>
      </c>
      <c r="W13" s="54">
        <v>1.3861873740112671E-3</v>
      </c>
      <c r="X13" s="54">
        <v>6.8381722937431527E-2</v>
      </c>
      <c r="Y13" s="54">
        <f t="shared" si="7"/>
        <v>0.31274367874324688</v>
      </c>
      <c r="Z13" s="54">
        <v>6.2119073431570252E-4</v>
      </c>
      <c r="AA13" s="54">
        <v>3.2721772784178649E-2</v>
      </c>
      <c r="AB13" s="54">
        <f t="shared" si="8"/>
        <v>0.14965296508963724</v>
      </c>
      <c r="AC13" s="54">
        <v>6.1473088369961319E-3</v>
      </c>
    </row>
    <row r="14" spans="1:29" s="1" customFormat="1">
      <c r="A14" s="113" t="s">
        <v>292</v>
      </c>
      <c r="B14" s="107">
        <v>0.21080831408776088</v>
      </c>
      <c r="C14" s="54">
        <v>6.2105964275851679</v>
      </c>
      <c r="D14" s="54">
        <f t="shared" si="0"/>
        <v>29.460870433220467</v>
      </c>
      <c r="E14" s="54">
        <v>7.1976824057151181E-2</v>
      </c>
      <c r="F14" s="54">
        <v>7.8885195685469423E-2</v>
      </c>
      <c r="G14" s="54">
        <f t="shared" si="1"/>
        <v>0.37420343702681952</v>
      </c>
      <c r="H14" s="54">
        <v>1.3744882034013481E-2</v>
      </c>
      <c r="I14" s="54">
        <v>0</v>
      </c>
      <c r="J14" s="1">
        <f t="shared" si="2"/>
        <v>0</v>
      </c>
      <c r="K14" s="54">
        <v>0</v>
      </c>
      <c r="L14" s="54">
        <v>0.1320148987531834</v>
      </c>
      <c r="M14" s="54">
        <f t="shared" si="3"/>
        <v>0.6262319364606499</v>
      </c>
      <c r="N14" s="54">
        <v>3.9535614367817778E-3</v>
      </c>
      <c r="O14" s="54">
        <v>0</v>
      </c>
      <c r="P14" s="1">
        <f t="shared" si="4"/>
        <v>0</v>
      </c>
      <c r="Q14" s="54">
        <v>0</v>
      </c>
      <c r="R14" s="54">
        <v>0</v>
      </c>
      <c r="S14" s="1">
        <f t="shared" si="5"/>
        <v>0</v>
      </c>
      <c r="T14" s="54">
        <v>0</v>
      </c>
      <c r="U14" s="54">
        <v>1.5649822803372848E-2</v>
      </c>
      <c r="V14" s="54">
        <f t="shared" si="6"/>
        <v>7.4237218162362062E-2</v>
      </c>
      <c r="W14" s="54">
        <v>8.3891339777824778E-4</v>
      </c>
      <c r="X14" s="54">
        <v>5.8767068316649129E-2</v>
      </c>
      <c r="Y14" s="54">
        <f t="shared" si="7"/>
        <v>0.27877016412257827</v>
      </c>
      <c r="Z14" s="54">
        <v>4.2409688404516227E-3</v>
      </c>
      <c r="AA14" s="54">
        <v>2.1791213609817169E-2</v>
      </c>
      <c r="AB14" s="54">
        <f t="shared" si="8"/>
        <v>0.10336980163289644</v>
      </c>
      <c r="AC14" s="54">
        <v>1.5197513513684832E-2</v>
      </c>
    </row>
    <row r="17" spans="1:5">
      <c r="A17" s="59" t="s">
        <v>64</v>
      </c>
      <c r="B17" s="58" t="s">
        <v>61</v>
      </c>
      <c r="C17" s="112" t="s">
        <v>293</v>
      </c>
      <c r="D17" s="112" t="s">
        <v>294</v>
      </c>
      <c r="E17" s="112" t="s">
        <v>63</v>
      </c>
    </row>
    <row r="18" spans="1:5">
      <c r="A18" s="113" t="s">
        <v>285</v>
      </c>
      <c r="B18" s="107">
        <v>0.25479248625475714</v>
      </c>
      <c r="C18" s="54">
        <v>2.9952238094042629</v>
      </c>
      <c r="D18" s="54">
        <f t="shared" ref="D18:D30" si="9">C18/B18</f>
        <v>11.755542141103229</v>
      </c>
      <c r="E18" s="54">
        <v>0.70852692384451621</v>
      </c>
    </row>
    <row r="19" spans="1:5">
      <c r="A19" s="113" t="s">
        <v>286</v>
      </c>
      <c r="B19" s="107">
        <v>0.2665647596489939</v>
      </c>
      <c r="C19" s="54">
        <v>3.7259150704189992</v>
      </c>
      <c r="D19" s="54">
        <f t="shared" si="9"/>
        <v>13.977523042900327</v>
      </c>
      <c r="E19" s="54">
        <v>0.12457313877881643</v>
      </c>
    </row>
    <row r="20" spans="1:5">
      <c r="A20" s="113" t="s">
        <v>287</v>
      </c>
      <c r="B20" s="107">
        <v>0.24876220922669601</v>
      </c>
      <c r="C20" s="54">
        <v>3.6462057213867896</v>
      </c>
      <c r="D20" s="54">
        <f t="shared" si="9"/>
        <v>14.657394033930681</v>
      </c>
      <c r="E20" s="54">
        <v>0.4518294814977093</v>
      </c>
    </row>
    <row r="21" spans="1:5">
      <c r="A21" s="113" t="s">
        <v>288</v>
      </c>
      <c r="B21" s="107">
        <v>0.24045908002074934</v>
      </c>
      <c r="C21" s="54">
        <v>3.8618419400999171</v>
      </c>
      <c r="D21" s="54">
        <f t="shared" si="9"/>
        <v>16.060287429223621</v>
      </c>
      <c r="E21" s="54">
        <v>0.10023988192365989</v>
      </c>
    </row>
    <row r="22" spans="1:5">
      <c r="A22" s="113" t="s">
        <v>13</v>
      </c>
      <c r="B22" s="107">
        <v>0.22939153077564695</v>
      </c>
      <c r="C22" s="54">
        <v>3.9427076795621723</v>
      </c>
      <c r="D22" s="54">
        <f t="shared" si="9"/>
        <v>17.18767761926782</v>
      </c>
      <c r="E22" s="54">
        <v>0.65161914477216942</v>
      </c>
    </row>
    <row r="23" spans="1:5">
      <c r="A23" s="113" t="s">
        <v>14</v>
      </c>
      <c r="B23" s="107">
        <v>0.20534708516324557</v>
      </c>
      <c r="C23" s="54">
        <v>4.0205341676499389</v>
      </c>
      <c r="D23" s="54">
        <f t="shared" si="9"/>
        <v>19.579212261297595</v>
      </c>
      <c r="E23" s="54">
        <v>0.18105709402667491</v>
      </c>
    </row>
    <row r="24" spans="1:5">
      <c r="A24" s="113" t="s">
        <v>15</v>
      </c>
      <c r="B24" s="107">
        <v>0.19496614247882196</v>
      </c>
      <c r="C24" s="54">
        <v>4.1821307082067634</v>
      </c>
      <c r="D24" s="54">
        <f t="shared" si="9"/>
        <v>21.450548567226456</v>
      </c>
      <c r="E24" s="54">
        <v>0.46491698368006479</v>
      </c>
    </row>
    <row r="25" spans="1:5">
      <c r="A25" s="113" t="s">
        <v>16</v>
      </c>
      <c r="B25" s="107">
        <v>0.16855272679079111</v>
      </c>
      <c r="C25" s="54">
        <v>4.3057044410413479</v>
      </c>
      <c r="D25" s="54">
        <f t="shared" si="9"/>
        <v>25.545148530202184</v>
      </c>
      <c r="E25" s="54">
        <v>3.2374814655912597E-2</v>
      </c>
    </row>
    <row r="26" spans="1:5">
      <c r="A26" s="113" t="s">
        <v>17</v>
      </c>
      <c r="B26" s="107">
        <v>0.15019812620948753</v>
      </c>
      <c r="C26" s="54">
        <v>4.851067268345342</v>
      </c>
      <c r="D26" s="54">
        <f t="shared" si="9"/>
        <v>32.297788199963016</v>
      </c>
      <c r="E26" s="54">
        <v>0.18590776879280416</v>
      </c>
    </row>
    <row r="27" spans="1:5">
      <c r="A27" s="113" t="s">
        <v>289</v>
      </c>
      <c r="B27" s="107">
        <v>0.22087830294008207</v>
      </c>
      <c r="C27" s="54">
        <v>6.1295408329776819</v>
      </c>
      <c r="D27" s="54">
        <f t="shared" si="9"/>
        <v>27.7507602665729</v>
      </c>
      <c r="E27" s="54">
        <v>0.23873485669638947</v>
      </c>
    </row>
    <row r="28" spans="1:5">
      <c r="A28" s="113" t="s">
        <v>290</v>
      </c>
      <c r="B28" s="107">
        <v>0.22210840007450242</v>
      </c>
      <c r="C28" s="54">
        <v>5.5162694876107743</v>
      </c>
      <c r="D28" s="54">
        <f t="shared" si="9"/>
        <v>24.835933651138081</v>
      </c>
      <c r="E28" s="54">
        <v>0.63582227667515678</v>
      </c>
    </row>
    <row r="29" spans="1:5">
      <c r="A29" s="113" t="s">
        <v>291</v>
      </c>
      <c r="B29" s="107">
        <v>0.21865101546487486</v>
      </c>
      <c r="C29" s="54">
        <v>6.0134357818893882</v>
      </c>
      <c r="D29" s="54">
        <f t="shared" si="9"/>
        <v>27.502437018662807</v>
      </c>
      <c r="E29" s="54">
        <v>0.24390284458765912</v>
      </c>
    </row>
    <row r="30" spans="1:5">
      <c r="A30" s="113" t="s">
        <v>292</v>
      </c>
      <c r="B30" s="107">
        <v>0.21080831408776088</v>
      </c>
      <c r="C30" s="54">
        <v>6.2105964275851679</v>
      </c>
      <c r="D30" s="54">
        <f t="shared" si="9"/>
        <v>29.460870433220467</v>
      </c>
      <c r="E30" s="54">
        <v>7.1976824057151181E-2</v>
      </c>
    </row>
    <row r="33" spans="1:9">
      <c r="A33" s="59" t="s">
        <v>64</v>
      </c>
      <c r="B33" s="58" t="s">
        <v>295</v>
      </c>
      <c r="C33" s="58" t="s">
        <v>296</v>
      </c>
      <c r="D33" s="58" t="s">
        <v>297</v>
      </c>
      <c r="E33" s="58" t="s">
        <v>298</v>
      </c>
      <c r="F33" s="58" t="s">
        <v>299</v>
      </c>
      <c r="G33" s="58" t="s">
        <v>300</v>
      </c>
      <c r="H33" s="58" t="s">
        <v>301</v>
      </c>
      <c r="I33" s="58" t="s">
        <v>302</v>
      </c>
    </row>
    <row r="34" spans="1:9">
      <c r="A34" s="113" t="s">
        <v>285</v>
      </c>
      <c r="B34" s="54">
        <v>0.1735832763059276</v>
      </c>
      <c r="C34" s="54">
        <v>0.13053984851808578</v>
      </c>
      <c r="D34" s="54">
        <v>0.64313335384091574</v>
      </c>
      <c r="E34" s="54">
        <v>0.12763473387585531</v>
      </c>
      <c r="F34" s="54">
        <v>0.57431489874329322</v>
      </c>
      <c r="G34" s="54">
        <v>0.7876024258073846</v>
      </c>
      <c r="H34" s="54">
        <v>1.2941185348885349</v>
      </c>
      <c r="I34" s="54">
        <v>2.574464830783294</v>
      </c>
    </row>
    <row r="35" spans="1:9">
      <c r="A35" s="113" t="s">
        <v>286</v>
      </c>
      <c r="B35" s="54">
        <v>0.13021800762537883</v>
      </c>
      <c r="C35" s="54">
        <v>0</v>
      </c>
      <c r="D35" s="54">
        <v>0.41747602137895545</v>
      </c>
      <c r="E35" s="54">
        <v>0</v>
      </c>
      <c r="F35" s="54">
        <v>0.19911047454822139</v>
      </c>
      <c r="G35" s="54">
        <v>0.20760752091644663</v>
      </c>
      <c r="H35" s="54">
        <v>0.40439504745844318</v>
      </c>
      <c r="I35" s="54">
        <v>0.99318571409691236</v>
      </c>
    </row>
    <row r="36" spans="1:9">
      <c r="A36" s="113" t="s">
        <v>287</v>
      </c>
      <c r="B36" s="54">
        <v>0.1001482712549288</v>
      </c>
      <c r="C36" s="54">
        <v>0</v>
      </c>
      <c r="D36" s="54">
        <v>0.35454727851816992</v>
      </c>
      <c r="E36" s="54">
        <v>0</v>
      </c>
      <c r="F36" s="54">
        <v>0.10866239066567882</v>
      </c>
      <c r="G36" s="54">
        <v>8.6214470360305384E-2</v>
      </c>
      <c r="H36" s="54">
        <v>0.23049383667854464</v>
      </c>
      <c r="I36" s="54">
        <v>0.50055595384485663</v>
      </c>
    </row>
    <row r="37" spans="1:9">
      <c r="A37" s="113" t="s">
        <v>288</v>
      </c>
      <c r="B37" s="54">
        <v>9.4551438719979147E-2</v>
      </c>
      <c r="C37" s="54">
        <v>0</v>
      </c>
      <c r="D37" s="54">
        <v>0.42391971520277172</v>
      </c>
      <c r="E37" s="54">
        <v>0</v>
      </c>
      <c r="F37" s="54">
        <v>8.3266241774182917E-2</v>
      </c>
      <c r="G37" s="54">
        <v>7.5056793434105554E-2</v>
      </c>
      <c r="H37" s="54">
        <v>0.22450449231653927</v>
      </c>
      <c r="I37" s="54">
        <v>0.33751855767987943</v>
      </c>
    </row>
    <row r="38" spans="1:9">
      <c r="A38" s="113" t="s">
        <v>13</v>
      </c>
      <c r="B38" s="54">
        <v>8.9427118975461919E-2</v>
      </c>
      <c r="C38" s="54">
        <v>0</v>
      </c>
      <c r="D38" s="54">
        <v>0.41708765300204087</v>
      </c>
      <c r="E38" s="54">
        <v>0</v>
      </c>
      <c r="F38" s="54">
        <v>7.1195895686887931E-2</v>
      </c>
      <c r="G38" s="54">
        <v>5.7424240025991447E-2</v>
      </c>
      <c r="H38" s="54">
        <v>0.18667330328647425</v>
      </c>
      <c r="I38" s="54">
        <v>0.31907646666384848</v>
      </c>
    </row>
    <row r="39" spans="1:9">
      <c r="A39" s="113" t="s">
        <v>14</v>
      </c>
      <c r="B39" s="54">
        <v>7.5919770586893476E-2</v>
      </c>
      <c r="C39" s="54">
        <v>0</v>
      </c>
      <c r="D39" s="54">
        <v>0.49792002951321868</v>
      </c>
      <c r="E39" s="54">
        <v>0</v>
      </c>
      <c r="F39" s="54">
        <v>6.7262069009627154E-2</v>
      </c>
      <c r="G39" s="54">
        <v>6.1023804250063152E-2</v>
      </c>
      <c r="H39" s="54">
        <v>0.23760647161651269</v>
      </c>
      <c r="I39" s="54">
        <v>0.26828376546099292</v>
      </c>
    </row>
    <row r="40" spans="1:9">
      <c r="A40" s="113" t="s">
        <v>15</v>
      </c>
      <c r="B40" s="54">
        <v>8.4408707270179545E-2</v>
      </c>
      <c r="C40" s="54">
        <v>0</v>
      </c>
      <c r="D40" s="54">
        <v>0.49807290170682178</v>
      </c>
      <c r="E40" s="54">
        <v>0</v>
      </c>
      <c r="F40" s="54">
        <v>7.4641707108858382E-2</v>
      </c>
      <c r="G40" s="54">
        <v>5.7352102545061866E-2</v>
      </c>
      <c r="H40" s="54">
        <v>0.25805966053291335</v>
      </c>
      <c r="I40" s="54">
        <v>0.37896903839765173</v>
      </c>
    </row>
    <row r="41" spans="1:9">
      <c r="A41" s="113" t="s">
        <v>16</v>
      </c>
      <c r="B41" s="54">
        <v>7.9936129305569134E-2</v>
      </c>
      <c r="C41" s="54">
        <v>0</v>
      </c>
      <c r="D41" s="54">
        <v>0.57715802100992619</v>
      </c>
      <c r="E41" s="54">
        <v>0</v>
      </c>
      <c r="F41" s="54">
        <v>6.5063861365961942E-2</v>
      </c>
      <c r="G41" s="54">
        <v>6.9254782339440019E-2</v>
      </c>
      <c r="H41" s="54">
        <v>0.27681496908133413</v>
      </c>
      <c r="I41" s="54">
        <v>0.30809165494586632</v>
      </c>
    </row>
    <row r="42" spans="1:9">
      <c r="A42" s="113" t="s">
        <v>17</v>
      </c>
      <c r="B42" s="54">
        <v>9.2001499006093779E-2</v>
      </c>
      <c r="C42" s="54">
        <v>0</v>
      </c>
      <c r="D42" s="54">
        <v>0.70590118900847498</v>
      </c>
      <c r="E42" s="54">
        <v>0</v>
      </c>
      <c r="F42" s="54">
        <v>9.9017034588506997E-2</v>
      </c>
      <c r="G42" s="54">
        <v>0.1764035217985275</v>
      </c>
      <c r="H42" s="54">
        <v>0.41718663565457992</v>
      </c>
      <c r="I42" s="54">
        <v>0.30256326368313713</v>
      </c>
    </row>
    <row r="43" spans="1:9">
      <c r="A43" s="113" t="s">
        <v>289</v>
      </c>
      <c r="B43" s="54">
        <v>7.3899371069182387E-2</v>
      </c>
      <c r="C43" s="54">
        <v>0</v>
      </c>
      <c r="D43" s="54">
        <v>0.66139700365692589</v>
      </c>
      <c r="E43" s="54">
        <v>0</v>
      </c>
      <c r="F43" s="54">
        <v>0</v>
      </c>
      <c r="G43" s="54">
        <v>9.2856564607490408E-2</v>
      </c>
      <c r="H43" s="54">
        <v>0.26704289291125954</v>
      </c>
      <c r="I43" s="54">
        <v>0.16799615857478564</v>
      </c>
    </row>
    <row r="44" spans="1:9">
      <c r="A44" s="113" t="s">
        <v>290</v>
      </c>
      <c r="B44" s="54">
        <v>5.8273861895916837E-2</v>
      </c>
      <c r="C44" s="54">
        <v>0</v>
      </c>
      <c r="D44" s="54">
        <v>0.54977681313232418</v>
      </c>
      <c r="E44" s="54">
        <v>0</v>
      </c>
      <c r="F44" s="54">
        <v>0</v>
      </c>
      <c r="G44" s="54">
        <v>6.8328258128845437E-2</v>
      </c>
      <c r="H44" s="54">
        <v>0.23996461776722613</v>
      </c>
      <c r="I44" s="54">
        <v>9.7810287011911065E-2</v>
      </c>
    </row>
    <row r="45" spans="1:9">
      <c r="A45" s="113" t="s">
        <v>291</v>
      </c>
      <c r="B45" s="54">
        <v>7.2823997132336171E-2</v>
      </c>
      <c r="C45" s="54">
        <v>0</v>
      </c>
      <c r="D45" s="54">
        <v>0.66377127348798937</v>
      </c>
      <c r="E45" s="54">
        <v>0</v>
      </c>
      <c r="F45" s="54">
        <v>0</v>
      </c>
      <c r="G45" s="54">
        <v>7.3507305276754822E-2</v>
      </c>
      <c r="H45" s="54">
        <v>0.31274367874324688</v>
      </c>
      <c r="I45" s="54">
        <v>0.14965296508963724</v>
      </c>
    </row>
    <row r="46" spans="1:9">
      <c r="A46" s="113" t="s">
        <v>292</v>
      </c>
      <c r="B46" s="54">
        <v>7.8885195685469423E-2</v>
      </c>
      <c r="C46" s="54">
        <v>0</v>
      </c>
      <c r="D46" s="54">
        <v>0.6262319364606499</v>
      </c>
      <c r="E46" s="54">
        <v>0</v>
      </c>
      <c r="F46" s="54">
        <v>0</v>
      </c>
      <c r="G46" s="54">
        <v>7.4237218162362062E-2</v>
      </c>
      <c r="H46" s="54">
        <v>0.27877016412257827</v>
      </c>
      <c r="I46" s="54">
        <v>0.10336980163289644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AD9AD-0225-42A5-B8AA-705B25AE229F}">
  <dimension ref="A1:BE53"/>
  <sheetViews>
    <sheetView topLeftCell="A34" zoomScale="60" zoomScaleNormal="60" workbookViewId="0">
      <selection activeCell="AD59" sqref="AD59"/>
    </sheetView>
  </sheetViews>
  <sheetFormatPr defaultRowHeight="14.45"/>
  <cols>
    <col min="1" max="1" width="22.28515625" bestFit="1" customWidth="1"/>
    <col min="2" max="2" width="23" bestFit="1" customWidth="1"/>
    <col min="30" max="30" width="21.5703125" bestFit="1" customWidth="1"/>
    <col min="31" max="31" width="18" customWidth="1"/>
  </cols>
  <sheetData>
    <row r="1" spans="1:53">
      <c r="A1" s="58" t="s">
        <v>22</v>
      </c>
      <c r="B1" s="59" t="s">
        <v>64</v>
      </c>
      <c r="C1" s="114">
        <v>0.25</v>
      </c>
      <c r="D1" s="114" t="s">
        <v>63</v>
      </c>
      <c r="E1" s="114">
        <v>0.33333333333333331</v>
      </c>
      <c r="F1" s="114" t="s">
        <v>63</v>
      </c>
      <c r="G1" s="114">
        <v>0.41666666666666669</v>
      </c>
      <c r="H1" s="114" t="s">
        <v>63</v>
      </c>
      <c r="I1" s="114">
        <v>0.5</v>
      </c>
      <c r="J1" s="114" t="s">
        <v>63</v>
      </c>
      <c r="K1" s="114">
        <v>0.58333333333333337</v>
      </c>
      <c r="L1" s="114" t="s">
        <v>63</v>
      </c>
      <c r="M1" s="58" t="s">
        <v>303</v>
      </c>
      <c r="N1" s="114" t="s">
        <v>63</v>
      </c>
      <c r="O1" s="114">
        <v>0.625</v>
      </c>
      <c r="P1" s="114" t="s">
        <v>63</v>
      </c>
      <c r="Q1" s="114">
        <v>0.70833333333333337</v>
      </c>
      <c r="R1" s="114" t="s">
        <v>63</v>
      </c>
      <c r="S1" s="114">
        <v>0.75</v>
      </c>
      <c r="T1" s="114" t="s">
        <v>63</v>
      </c>
      <c r="U1" s="58" t="s">
        <v>304</v>
      </c>
      <c r="V1" s="114" t="s">
        <v>63</v>
      </c>
      <c r="W1" s="58" t="s">
        <v>305</v>
      </c>
      <c r="X1" s="114" t="s">
        <v>63</v>
      </c>
      <c r="Y1" s="58" t="s">
        <v>306</v>
      </c>
      <c r="Z1" s="114" t="s">
        <v>63</v>
      </c>
      <c r="AA1" s="114">
        <v>0.83333333333333337</v>
      </c>
      <c r="AB1" s="114" t="s">
        <v>63</v>
      </c>
      <c r="AC1" s="58" t="s">
        <v>307</v>
      </c>
      <c r="AD1" s="114" t="s">
        <v>63</v>
      </c>
      <c r="AE1" s="58" t="s">
        <v>308</v>
      </c>
      <c r="AF1" s="114" t="s">
        <v>63</v>
      </c>
      <c r="AG1" s="58" t="s">
        <v>309</v>
      </c>
      <c r="AH1" s="114" t="s">
        <v>63</v>
      </c>
      <c r="AI1" s="58" t="s">
        <v>310</v>
      </c>
      <c r="AJ1" s="114" t="s">
        <v>63</v>
      </c>
      <c r="AK1" s="114">
        <v>0.91666666666666663</v>
      </c>
      <c r="AL1" s="114" t="s">
        <v>63</v>
      </c>
      <c r="AM1" s="58" t="s">
        <v>311</v>
      </c>
      <c r="AN1" s="114" t="s">
        <v>63</v>
      </c>
      <c r="AO1" s="58" t="s">
        <v>312</v>
      </c>
      <c r="AP1" s="114" t="s">
        <v>63</v>
      </c>
      <c r="AQ1" s="58" t="s">
        <v>313</v>
      </c>
      <c r="AR1" s="114" t="s">
        <v>63</v>
      </c>
      <c r="AS1" s="58" t="s">
        <v>314</v>
      </c>
      <c r="AT1" s="114" t="s">
        <v>63</v>
      </c>
      <c r="AU1" s="58" t="s">
        <v>315</v>
      </c>
      <c r="AV1" s="114" t="s">
        <v>63</v>
      </c>
      <c r="AW1" s="58" t="s">
        <v>316</v>
      </c>
      <c r="AX1" s="114" t="s">
        <v>63</v>
      </c>
      <c r="AY1" s="58" t="s">
        <v>317</v>
      </c>
      <c r="AZ1" s="114" t="s">
        <v>63</v>
      </c>
      <c r="BA1" s="58" t="s">
        <v>318</v>
      </c>
    </row>
    <row r="2" spans="1:53">
      <c r="A2" s="115" t="s">
        <v>319</v>
      </c>
      <c r="B2" s="113" t="s">
        <v>71</v>
      </c>
      <c r="C2" s="54">
        <v>5.6019068460168411</v>
      </c>
      <c r="D2" s="54">
        <v>4.5945818947936843</v>
      </c>
      <c r="E2" s="54">
        <v>8.7270588228719355</v>
      </c>
      <c r="F2" s="54">
        <v>6.9240370365329511</v>
      </c>
      <c r="G2" s="54">
        <v>121.85361243127082</v>
      </c>
      <c r="H2" s="54">
        <v>63.543338532300609</v>
      </c>
      <c r="I2" s="54">
        <v>422.03347142949519</v>
      </c>
      <c r="J2" s="54">
        <v>49.928462697089167</v>
      </c>
      <c r="K2" s="54">
        <v>2718.5196841722823</v>
      </c>
      <c r="L2" s="54">
        <v>597.65538434653138</v>
      </c>
      <c r="M2" s="54">
        <v>203.9325376490213</v>
      </c>
      <c r="N2" s="54">
        <v>44.103608631337764</v>
      </c>
      <c r="O2" s="54">
        <v>228.96315037043524</v>
      </c>
      <c r="P2" s="54">
        <v>53.188035761899293</v>
      </c>
      <c r="Q2">
        <v>186.7706735911745</v>
      </c>
      <c r="R2">
        <v>42.175300479680189</v>
      </c>
      <c r="S2">
        <v>1125.1053015142388</v>
      </c>
      <c r="T2">
        <v>258.10615831570499</v>
      </c>
      <c r="U2" s="54">
        <v>383.22006711618417</v>
      </c>
      <c r="V2" s="54">
        <v>90.330934205578117</v>
      </c>
      <c r="W2" s="54">
        <v>14.553324415267166</v>
      </c>
      <c r="X2" s="54">
        <v>5.0527833615522466</v>
      </c>
      <c r="Y2" s="54">
        <v>134.06161764762942</v>
      </c>
      <c r="Z2" s="54">
        <v>31.797422572970028</v>
      </c>
      <c r="AA2" s="54">
        <v>33.300274863550968</v>
      </c>
      <c r="AB2" s="54">
        <v>10.777644392548137</v>
      </c>
      <c r="AC2" s="54">
        <v>3.7347617022938335</v>
      </c>
      <c r="AD2" s="54">
        <v>1.5912846835477914</v>
      </c>
      <c r="AE2" s="54">
        <v>19.027399023276644</v>
      </c>
      <c r="AF2" s="54">
        <v>5.3669681785247008</v>
      </c>
      <c r="AG2" s="54">
        <v>16.220661604748958</v>
      </c>
      <c r="AH2" s="54">
        <v>4.819838856793063</v>
      </c>
      <c r="AI2" s="54">
        <v>9.7806751947964194</v>
      </c>
      <c r="AJ2" s="54">
        <v>2.3837533222384839</v>
      </c>
      <c r="AK2" s="54">
        <v>18.086544288425713</v>
      </c>
      <c r="AL2" s="54">
        <v>5.771323590874661</v>
      </c>
      <c r="AM2" s="54">
        <v>51.583945576113933</v>
      </c>
      <c r="AN2" s="54">
        <v>13.431141510910429</v>
      </c>
      <c r="AO2" s="54">
        <v>52.11495493638364</v>
      </c>
      <c r="AP2" s="54">
        <v>12.066835070692566</v>
      </c>
      <c r="AQ2" s="54">
        <v>7.6308872590179497</v>
      </c>
      <c r="AR2" s="54">
        <v>1.8841089696895843</v>
      </c>
      <c r="AS2" s="54">
        <v>7.6448116014252134</v>
      </c>
      <c r="AT2" s="54">
        <v>1.7528995574142126</v>
      </c>
      <c r="AU2" s="54">
        <v>2.4875701035541695</v>
      </c>
      <c r="AV2" s="54">
        <v>0.3278467038247761</v>
      </c>
      <c r="AW2" s="54">
        <v>86.971034596230652</v>
      </c>
      <c r="AX2" s="54">
        <v>19.53990700718769</v>
      </c>
      <c r="AY2" s="54">
        <v>15.695667300276565</v>
      </c>
      <c r="AZ2" s="54">
        <v>3.7385184756637635</v>
      </c>
      <c r="BA2" s="54">
        <f>C2+E2+G2+I2+K2+M2+O2+Q2+S2+U2+W2+Y2+AA2+AC2+AE2+AG2+AI2+AK2+AM2+AO2+AQ2+AS2+AU2+AW2+AY2</f>
        <v>5877.6215940559841</v>
      </c>
    </row>
    <row r="3" spans="1:53">
      <c r="A3" s="115" t="s">
        <v>320</v>
      </c>
      <c r="B3" s="113" t="s">
        <v>204</v>
      </c>
      <c r="C3" s="54">
        <v>7.3889777718211676</v>
      </c>
      <c r="D3" s="54">
        <v>0.12477118115611777</v>
      </c>
      <c r="E3" s="54">
        <v>71.128133307343333</v>
      </c>
      <c r="F3" s="54">
        <v>11.800389784714147</v>
      </c>
      <c r="G3" s="54">
        <v>347.76151229372891</v>
      </c>
      <c r="H3" s="54">
        <v>15.287798485097328</v>
      </c>
      <c r="I3" s="54">
        <v>725.63487783684309</v>
      </c>
      <c r="J3" s="54">
        <v>20.634287295979941</v>
      </c>
      <c r="K3" s="54">
        <v>3916.9418203055993</v>
      </c>
      <c r="L3" s="54">
        <v>116.86888833009239</v>
      </c>
      <c r="M3" s="54">
        <v>287.99729096248075</v>
      </c>
      <c r="N3" s="54">
        <v>8.1159972725207279</v>
      </c>
      <c r="O3" s="54">
        <v>262.99681343040879</v>
      </c>
      <c r="P3" s="54">
        <v>8.0321653319601349</v>
      </c>
      <c r="Q3">
        <v>295.97442531254467</v>
      </c>
      <c r="R3">
        <v>9.2837989425581018</v>
      </c>
      <c r="S3">
        <v>2335.3665686917693</v>
      </c>
      <c r="T3">
        <v>67.745786152954366</v>
      </c>
      <c r="U3" s="54">
        <v>758.50547938798513</v>
      </c>
      <c r="V3" s="54">
        <v>24.54900031230985</v>
      </c>
      <c r="W3" s="54">
        <v>21.633647907304358</v>
      </c>
      <c r="X3" s="54">
        <v>2.8123786601750451</v>
      </c>
      <c r="Y3" s="54">
        <v>117.87685262908425</v>
      </c>
      <c r="Z3" s="54">
        <v>5.590853781645456</v>
      </c>
      <c r="AA3" s="54">
        <v>51.55973801795048</v>
      </c>
      <c r="AB3" s="54">
        <v>2.5258221485369377</v>
      </c>
      <c r="AC3" s="54">
        <v>5.9962488763086528</v>
      </c>
      <c r="AD3" s="54">
        <v>1.0043999485260535</v>
      </c>
      <c r="AE3" s="54">
        <v>30.973689308373004</v>
      </c>
      <c r="AF3" s="54">
        <v>1.8688571284099649</v>
      </c>
      <c r="AG3" s="54">
        <v>24.603893227272522</v>
      </c>
      <c r="AH3" s="54">
        <v>1.8285711382863812</v>
      </c>
      <c r="AI3" s="54">
        <v>14.68032888763439</v>
      </c>
      <c r="AJ3" s="54">
        <v>2.127831145088984</v>
      </c>
      <c r="AK3" s="54">
        <v>21.289334410548715</v>
      </c>
      <c r="AL3" s="54">
        <v>2.8032224861218049</v>
      </c>
      <c r="AM3" s="54">
        <v>109.63639868174748</v>
      </c>
      <c r="AN3" s="54">
        <v>6.7242425136228565</v>
      </c>
      <c r="AO3" s="54">
        <v>48.629616338045665</v>
      </c>
      <c r="AP3" s="54">
        <v>1.366026118863054</v>
      </c>
      <c r="AQ3" s="54">
        <v>7.0711865677185779</v>
      </c>
      <c r="AR3" s="54">
        <v>0.15009449803674391</v>
      </c>
      <c r="AS3" s="54">
        <v>21.306720014023401</v>
      </c>
      <c r="AT3" s="54">
        <v>0.64639183884202489</v>
      </c>
      <c r="AU3" s="54">
        <v>4.8548809165053655</v>
      </c>
      <c r="AV3" s="54">
        <v>0.76723024203399448</v>
      </c>
      <c r="AW3" s="54">
        <v>109.04403024350094</v>
      </c>
      <c r="AX3" s="54">
        <v>2.8131387411632129</v>
      </c>
      <c r="AY3" s="54">
        <v>17.010520245562819</v>
      </c>
      <c r="AZ3" s="54">
        <v>0.52884817963854791</v>
      </c>
      <c r="BA3" s="54">
        <f t="shared" ref="BA3:BA14" si="0">C3+E3+G3+I3+K3+M3+O3+Q3+S3+U3+W3+Y3+AA3+AC3+AE3+AG3+AI3+AK3+AM3+AO3+AQ3+AS3+AU3+AW3+AY3</f>
        <v>9615.8629855721047</v>
      </c>
    </row>
    <row r="4" spans="1:53">
      <c r="A4" s="115" t="s">
        <v>321</v>
      </c>
      <c r="B4" s="113" t="s">
        <v>205</v>
      </c>
      <c r="C4" s="54">
        <v>7.0294790445603592</v>
      </c>
      <c r="D4" s="54">
        <v>0.26116383859811954</v>
      </c>
      <c r="E4" s="54">
        <v>26.068201010148861</v>
      </c>
      <c r="F4" s="54">
        <v>21.741751620436521</v>
      </c>
      <c r="G4" s="54">
        <v>217.4986694683916</v>
      </c>
      <c r="H4" s="54">
        <v>26.513771733598826</v>
      </c>
      <c r="I4" s="54">
        <v>487.42223941606278</v>
      </c>
      <c r="J4" s="54">
        <v>9.9682586411033682</v>
      </c>
      <c r="K4" s="54">
        <v>2679.8002352283029</v>
      </c>
      <c r="L4" s="54">
        <v>22.302820716345984</v>
      </c>
      <c r="M4" s="54">
        <v>191.54443569737683</v>
      </c>
      <c r="N4" s="54">
        <v>1.5600191513673738</v>
      </c>
      <c r="O4" s="54">
        <v>182.34075160517381</v>
      </c>
      <c r="P4" s="54">
        <v>1.4215944860258394</v>
      </c>
      <c r="Q4">
        <v>168.27019516908373</v>
      </c>
      <c r="R4">
        <v>4.8532340755968315</v>
      </c>
      <c r="S4">
        <v>1818.228030380722</v>
      </c>
      <c r="T4">
        <v>13.851293165260326</v>
      </c>
      <c r="U4" s="54">
        <v>570.46803019621689</v>
      </c>
      <c r="V4" s="54">
        <v>4.0791293355413671</v>
      </c>
      <c r="W4" s="54">
        <v>19.888647553706015</v>
      </c>
      <c r="X4" s="54">
        <v>3.7635880124574497</v>
      </c>
      <c r="Y4" s="54">
        <v>87.82615407255966</v>
      </c>
      <c r="Z4" s="54">
        <v>1.2905326463974942</v>
      </c>
      <c r="AA4" s="54">
        <v>43.103622298139143</v>
      </c>
      <c r="AB4" s="54">
        <v>5.6965183893161386</v>
      </c>
      <c r="AC4" s="54">
        <v>5.3832211802738499</v>
      </c>
      <c r="AD4" s="54">
        <v>0.75972583181779918</v>
      </c>
      <c r="AE4" s="54">
        <v>25.516236065674754</v>
      </c>
      <c r="AF4" s="54">
        <v>1.6783978214674733</v>
      </c>
      <c r="AG4" s="54">
        <v>20.755630781176585</v>
      </c>
      <c r="AH4" s="54">
        <v>1.7023836259783507</v>
      </c>
      <c r="AI4" s="54">
        <v>11.171246132646136</v>
      </c>
      <c r="AJ4" s="54">
        <v>1.3862259087673598</v>
      </c>
      <c r="AK4" s="54">
        <v>17.816659722520612</v>
      </c>
      <c r="AL4" s="54">
        <v>2.5976165691971391</v>
      </c>
      <c r="AM4" s="54">
        <v>74.248833406173645</v>
      </c>
      <c r="AN4" s="54">
        <v>4.2940202138571566</v>
      </c>
      <c r="AO4" s="54">
        <v>32.545786591938231</v>
      </c>
      <c r="AP4" s="54">
        <v>0.30469690216784012</v>
      </c>
      <c r="AQ4" s="54">
        <v>7.4972478622993277</v>
      </c>
      <c r="AR4" s="54">
        <v>3.1428484454206425</v>
      </c>
      <c r="AS4" s="54">
        <v>13.068448595303607</v>
      </c>
      <c r="AT4" s="54">
        <v>0.10328197477260743</v>
      </c>
      <c r="AU4" s="54">
        <v>2.6355749608649033</v>
      </c>
      <c r="AV4" s="54">
        <v>0.17063887087282822</v>
      </c>
      <c r="AW4" s="54">
        <v>58.844297925070592</v>
      </c>
      <c r="AX4" s="54">
        <v>1.4903645943051862</v>
      </c>
      <c r="AY4" s="54">
        <v>8.7406952746021354</v>
      </c>
      <c r="AZ4" s="54">
        <v>0.38987561235387608</v>
      </c>
      <c r="BA4" s="54">
        <f t="shared" si="0"/>
        <v>6777.7125696389885</v>
      </c>
    </row>
    <row r="5" spans="1:53">
      <c r="A5" s="115" t="s">
        <v>322</v>
      </c>
      <c r="B5" s="113" t="s">
        <v>206</v>
      </c>
      <c r="C5" s="54">
        <v>6.8401697790656772</v>
      </c>
      <c r="D5" s="54">
        <v>0.87403854509784018</v>
      </c>
      <c r="E5" s="54">
        <v>38.350094194619871</v>
      </c>
      <c r="F5" s="54">
        <v>28.732639948412587</v>
      </c>
      <c r="G5" s="54">
        <v>360.13604239811258</v>
      </c>
      <c r="H5" s="54">
        <v>40.486600675627592</v>
      </c>
      <c r="I5" s="54">
        <v>799.98587569220672</v>
      </c>
      <c r="J5" s="54">
        <v>19.41950752415848</v>
      </c>
      <c r="K5" s="54">
        <v>4254.4889493954533</v>
      </c>
      <c r="L5" s="54">
        <v>63.14868293307768</v>
      </c>
      <c r="M5" s="54">
        <v>337.46587068035302</v>
      </c>
      <c r="N5" s="54">
        <v>5.7737165824432299</v>
      </c>
      <c r="O5" s="54">
        <v>245.75337027453111</v>
      </c>
      <c r="P5" s="54">
        <v>3.597377591702446</v>
      </c>
      <c r="Q5">
        <v>229.79271206166058</v>
      </c>
      <c r="R5">
        <v>3.0501273462933725</v>
      </c>
      <c r="S5">
        <v>2059.3415973997571</v>
      </c>
      <c r="T5">
        <v>28.253933158815094</v>
      </c>
      <c r="U5" s="54">
        <v>756.64458397890257</v>
      </c>
      <c r="V5" s="54">
        <v>11.346428677322637</v>
      </c>
      <c r="W5" s="54">
        <v>20.748000788849538</v>
      </c>
      <c r="X5" s="54">
        <v>0.26897520586591533</v>
      </c>
      <c r="Y5" s="54">
        <v>117.41286776193482</v>
      </c>
      <c r="Z5" s="54">
        <v>1.9234763901395262</v>
      </c>
      <c r="AA5" s="54">
        <v>45.544224788567732</v>
      </c>
      <c r="AB5" s="54">
        <v>0.48830468301554186</v>
      </c>
      <c r="AC5" s="54">
        <v>3.9592907356959097</v>
      </c>
      <c r="AD5" s="54">
        <v>0.63996601248165608</v>
      </c>
      <c r="AE5" s="54">
        <v>27.037097314298308</v>
      </c>
      <c r="AF5" s="54">
        <v>0.38297234616818282</v>
      </c>
      <c r="AG5" s="54">
        <v>19.562882225163207</v>
      </c>
      <c r="AH5" s="54">
        <v>0.22181276586240278</v>
      </c>
      <c r="AI5" s="54">
        <v>13.621782035265269</v>
      </c>
      <c r="AJ5" s="54">
        <v>0.2740717644273451</v>
      </c>
      <c r="AK5" s="54">
        <v>19.536123240806376</v>
      </c>
      <c r="AL5" s="54">
        <v>4.7428199569813687E-2</v>
      </c>
      <c r="AM5" s="54">
        <v>95.899311155560127</v>
      </c>
      <c r="AN5" s="54">
        <v>1.5324477922736892</v>
      </c>
      <c r="AO5" s="54">
        <v>40.252928285622687</v>
      </c>
      <c r="AP5" s="54">
        <v>1.9400794594877011</v>
      </c>
      <c r="AQ5" s="54">
        <v>7.2857152000332466</v>
      </c>
      <c r="AR5" s="54">
        <v>0.55178241638362202</v>
      </c>
      <c r="AS5" s="54">
        <v>16.276563686988052</v>
      </c>
      <c r="AT5" s="54">
        <v>7.8765886904744689E-2</v>
      </c>
      <c r="AU5" s="54">
        <v>3.1834812666907339</v>
      </c>
      <c r="AV5" s="54">
        <v>4.967765172158127E-2</v>
      </c>
      <c r="AW5" s="54">
        <v>84.914668778184421</v>
      </c>
      <c r="AX5" s="54">
        <v>2.3641134350495285</v>
      </c>
      <c r="AY5" s="54">
        <v>17.496382130653096</v>
      </c>
      <c r="AZ5" s="54">
        <v>0.22093741395563374</v>
      </c>
      <c r="BA5" s="54">
        <f t="shared" si="0"/>
        <v>9621.5305852489801</v>
      </c>
    </row>
    <row r="6" spans="1:53">
      <c r="A6" s="115" t="s">
        <v>323</v>
      </c>
      <c r="B6" s="113" t="s">
        <v>73</v>
      </c>
      <c r="C6" s="54">
        <v>6.8007840888815103</v>
      </c>
      <c r="D6" s="54">
        <v>0.81026954233949611</v>
      </c>
      <c r="E6" s="54">
        <v>5.7687207236441127</v>
      </c>
      <c r="F6" s="54">
        <v>2.5681626849121479</v>
      </c>
      <c r="G6" s="54">
        <v>34.548414640551982</v>
      </c>
      <c r="H6" s="54">
        <v>7.4854066386054487</v>
      </c>
      <c r="I6" s="54">
        <v>84.051374456934269</v>
      </c>
      <c r="J6" s="54">
        <v>2.9702435776294362</v>
      </c>
      <c r="K6" s="54">
        <v>472.20305990743458</v>
      </c>
      <c r="L6" s="54">
        <v>28.534557358384511</v>
      </c>
      <c r="M6" s="54">
        <v>30.615260795788913</v>
      </c>
      <c r="N6" s="54">
        <v>1.1300422580852767</v>
      </c>
      <c r="O6" s="54">
        <v>34.048851504007537</v>
      </c>
      <c r="P6" s="54">
        <v>1.9750917915913406</v>
      </c>
      <c r="Q6">
        <v>42.210058129608214</v>
      </c>
      <c r="R6">
        <v>0.58182185292477651</v>
      </c>
      <c r="S6">
        <v>332.92884624332714</v>
      </c>
      <c r="T6">
        <v>23.972122133683474</v>
      </c>
      <c r="U6" s="54">
        <v>116.70262388617766</v>
      </c>
      <c r="V6" s="54">
        <v>7.211731573827314</v>
      </c>
      <c r="W6" s="54">
        <v>3.63252191488258</v>
      </c>
      <c r="X6" s="54">
        <v>0.99700071124963696</v>
      </c>
      <c r="Y6" s="54">
        <v>17.709357472374254</v>
      </c>
      <c r="Z6" s="54">
        <v>1.4892759177999102</v>
      </c>
      <c r="AA6" s="54">
        <v>7.9179444767292217</v>
      </c>
      <c r="AB6" s="54">
        <v>0.62807685254678247</v>
      </c>
      <c r="AC6" s="54">
        <v>1.0116241873100908</v>
      </c>
      <c r="AD6" s="54">
        <v>0.23426787275303701</v>
      </c>
      <c r="AE6" s="54">
        <v>4.4878156419363266</v>
      </c>
      <c r="AF6" s="54">
        <v>0.48657532396972458</v>
      </c>
      <c r="AG6" s="54">
        <v>3.9879153669799834</v>
      </c>
      <c r="AH6" s="54">
        <v>0.48587234203036023</v>
      </c>
      <c r="AI6" s="54">
        <v>2.3146013993912087</v>
      </c>
      <c r="AJ6" s="54">
        <v>0.50993540384144787</v>
      </c>
      <c r="AK6" s="54">
        <v>7.8313288762798088</v>
      </c>
      <c r="AL6" s="54">
        <v>0.46068141374113292</v>
      </c>
      <c r="AM6" s="54">
        <v>19.162965509391867</v>
      </c>
      <c r="AN6" s="54">
        <v>0.95586534609624185</v>
      </c>
      <c r="AO6" s="54">
        <v>8.335543326180602</v>
      </c>
      <c r="AP6" s="54">
        <v>0.49868898004852785</v>
      </c>
      <c r="AQ6" s="54">
        <v>2.8244492410334736</v>
      </c>
      <c r="AR6" s="54">
        <v>0.20125628775105767</v>
      </c>
      <c r="AS6" s="54">
        <v>3.8245933436234125</v>
      </c>
      <c r="AT6" s="54">
        <v>0.21380293470768788</v>
      </c>
      <c r="AU6" s="54">
        <v>1.0137557827451023</v>
      </c>
      <c r="AV6" s="54">
        <v>5.9955653226357507E-2</v>
      </c>
      <c r="AW6" s="54">
        <v>18.466563144010415</v>
      </c>
      <c r="AX6" s="54">
        <v>1.3469983768186493</v>
      </c>
      <c r="AY6" s="54">
        <v>3.2396850423294761</v>
      </c>
      <c r="AZ6" s="54">
        <v>0.12636704570991014</v>
      </c>
      <c r="BA6" s="54">
        <f t="shared" si="0"/>
        <v>1265.6386591015539</v>
      </c>
    </row>
    <row r="7" spans="1:53">
      <c r="A7" s="115" t="s">
        <v>324</v>
      </c>
      <c r="B7" s="113" t="s">
        <v>74</v>
      </c>
      <c r="C7" s="54">
        <v>7.2121880423480622</v>
      </c>
      <c r="D7" s="54">
        <v>8.6518683108014652E-2</v>
      </c>
      <c r="E7" s="54">
        <v>35.070858721859651</v>
      </c>
      <c r="F7" s="54">
        <v>24.029668262175647</v>
      </c>
      <c r="G7" s="54">
        <v>296.02108946027363</v>
      </c>
      <c r="H7" s="54">
        <v>34.443813954319012</v>
      </c>
      <c r="I7" s="54">
        <v>605.16857125943432</v>
      </c>
      <c r="J7" s="54">
        <v>13.043041710504374</v>
      </c>
      <c r="K7" s="54">
        <v>3105.2482298717368</v>
      </c>
      <c r="L7" s="54">
        <v>26.523807305380824</v>
      </c>
      <c r="M7" s="54">
        <v>230.32223530107416</v>
      </c>
      <c r="N7" s="54">
        <v>1.8632955851121433</v>
      </c>
      <c r="O7" s="54">
        <v>212.76368179739524</v>
      </c>
      <c r="P7" s="54">
        <v>1.8061481048387729</v>
      </c>
      <c r="Q7">
        <v>224.01067124655339</v>
      </c>
      <c r="R7">
        <v>0.56445344402907116</v>
      </c>
      <c r="S7">
        <v>2210.3261113994249</v>
      </c>
      <c r="T7">
        <v>14.394763775919575</v>
      </c>
      <c r="U7" s="54">
        <v>694.45047827852704</v>
      </c>
      <c r="V7" s="54">
        <v>2.1432132959504027</v>
      </c>
      <c r="W7" s="54">
        <v>21.524201946899286</v>
      </c>
      <c r="X7" s="54">
        <v>0.29103500848025743</v>
      </c>
      <c r="Y7" s="54">
        <v>136.340828972525</v>
      </c>
      <c r="Z7" s="54">
        <v>0.91406370954114291</v>
      </c>
      <c r="AA7" s="54">
        <v>45.237696846072666</v>
      </c>
      <c r="AB7" s="54">
        <v>2.8226767722551878</v>
      </c>
      <c r="AC7" s="54">
        <v>4.3043513054165485</v>
      </c>
      <c r="AD7" s="54">
        <v>7.8784315452570461E-2</v>
      </c>
      <c r="AE7" s="54">
        <v>27.615087225227953</v>
      </c>
      <c r="AF7" s="54">
        <v>0.13615382968781259</v>
      </c>
      <c r="AG7" s="54">
        <v>22.277652921472914</v>
      </c>
      <c r="AH7" s="54">
        <v>0.19868581561518228</v>
      </c>
      <c r="AI7" s="54">
        <v>13.826597210001939</v>
      </c>
      <c r="AJ7" s="54">
        <v>0.29422108096453242</v>
      </c>
      <c r="AK7" s="54">
        <v>19.708088110155792</v>
      </c>
      <c r="AL7" s="54">
        <v>2.4950230101700117E-2</v>
      </c>
      <c r="AM7" s="54">
        <v>76.149072893128945</v>
      </c>
      <c r="AN7" s="54">
        <v>0.19459616519169207</v>
      </c>
      <c r="AO7" s="54">
        <v>39.431979232595978</v>
      </c>
      <c r="AP7" s="54">
        <v>0.52619922869210145</v>
      </c>
      <c r="AQ7" s="54">
        <v>6.0653207001249108</v>
      </c>
      <c r="AR7" s="54">
        <v>0.14942749863777696</v>
      </c>
      <c r="AS7" s="54">
        <v>15.889336862442565</v>
      </c>
      <c r="AT7" s="54">
        <v>0.24165405047177532</v>
      </c>
      <c r="AU7" s="54">
        <v>3.6278430644584483</v>
      </c>
      <c r="AV7" s="54">
        <v>4.42421922011762E-2</v>
      </c>
      <c r="AW7" s="54">
        <v>74.538014890976683</v>
      </c>
      <c r="AX7" s="54">
        <v>0.66293063813275488</v>
      </c>
      <c r="AY7" s="54">
        <v>11.128121345937888</v>
      </c>
      <c r="AZ7" s="54">
        <v>0.1167419586814023</v>
      </c>
      <c r="BA7" s="54">
        <f t="shared" si="0"/>
        <v>8138.2583089060636</v>
      </c>
    </row>
    <row r="8" spans="1:53">
      <c r="A8" s="115" t="s">
        <v>325</v>
      </c>
      <c r="B8" s="113" t="s">
        <v>75</v>
      </c>
      <c r="C8" s="54">
        <v>7.2137690750315802</v>
      </c>
      <c r="D8" s="54">
        <v>9.1160209650114843E-2</v>
      </c>
      <c r="E8" s="54">
        <v>57.099710247892929</v>
      </c>
      <c r="F8" s="54">
        <v>7.8550321516026402</v>
      </c>
      <c r="G8" s="54">
        <v>344.91762253495597</v>
      </c>
      <c r="H8" s="54">
        <v>1.6743501993564598</v>
      </c>
      <c r="I8" s="54">
        <v>637.51340941233479</v>
      </c>
      <c r="J8" s="54">
        <v>8.5881543387592583</v>
      </c>
      <c r="K8" s="54">
        <v>3148.7680532252798</v>
      </c>
      <c r="L8" s="54">
        <v>60.828405472686221</v>
      </c>
      <c r="M8" s="54">
        <v>230.14880561582089</v>
      </c>
      <c r="N8" s="54">
        <v>3.9610418834923116</v>
      </c>
      <c r="O8" s="54">
        <v>226.84557424488133</v>
      </c>
      <c r="P8" s="54">
        <v>4.4651708259544183</v>
      </c>
      <c r="Q8">
        <v>236.82537504314078</v>
      </c>
      <c r="R8">
        <v>4.9582735075232822</v>
      </c>
      <c r="S8">
        <v>2377.580420672843</v>
      </c>
      <c r="T8">
        <v>49.760810469679754</v>
      </c>
      <c r="U8" s="54">
        <v>696.00427898632256</v>
      </c>
      <c r="V8" s="54">
        <v>16.586902722549286</v>
      </c>
      <c r="W8" s="54">
        <v>22.409136684703903</v>
      </c>
      <c r="X8" s="54">
        <v>1.4332616048461613</v>
      </c>
      <c r="Y8" s="54">
        <v>129.0959404056872</v>
      </c>
      <c r="Z8" s="54">
        <v>4.8119195416531744</v>
      </c>
      <c r="AA8" s="54">
        <v>50.631684071881971</v>
      </c>
      <c r="AB8" s="54">
        <v>2.8662316201569356</v>
      </c>
      <c r="AC8" s="54">
        <v>3.9743025142530315</v>
      </c>
      <c r="AD8" s="54">
        <v>0.41592616952233913</v>
      </c>
      <c r="AE8" s="54">
        <v>28.885938561874113</v>
      </c>
      <c r="AF8" s="54">
        <v>1.0603996723791476</v>
      </c>
      <c r="AG8" s="54">
        <v>23.777985436657644</v>
      </c>
      <c r="AH8" s="54">
        <v>0.76355233611948525</v>
      </c>
      <c r="AI8" s="54">
        <v>14.638960155151041</v>
      </c>
      <c r="AJ8" s="54">
        <v>0.97185017977704424</v>
      </c>
      <c r="AK8" s="54">
        <v>19.459077715632702</v>
      </c>
      <c r="AL8" s="54">
        <v>0.68556604540006438</v>
      </c>
      <c r="AM8" s="54">
        <v>74.194901004327875</v>
      </c>
      <c r="AN8" s="54">
        <v>2.8587077715174893</v>
      </c>
      <c r="AO8" s="54">
        <v>37.099351136432858</v>
      </c>
      <c r="AP8" s="54">
        <v>1.6305739699344703</v>
      </c>
      <c r="AQ8" s="54">
        <v>5.2855499978160472</v>
      </c>
      <c r="AR8" s="54">
        <v>0.69752859675542267</v>
      </c>
      <c r="AS8" s="54">
        <v>15.916331485799981</v>
      </c>
      <c r="AT8" s="54">
        <v>0.54737499386105237</v>
      </c>
      <c r="AU8" s="54">
        <v>3.6713494473663841</v>
      </c>
      <c r="AV8" s="54">
        <v>0.54250645752591253</v>
      </c>
      <c r="AW8" s="54">
        <v>71.236487406603743</v>
      </c>
      <c r="AX8" s="54">
        <v>2.0991969829218333</v>
      </c>
      <c r="AY8" s="54">
        <v>10.703214323407476</v>
      </c>
      <c r="AZ8" s="54">
        <v>0.18657794055756538</v>
      </c>
      <c r="BA8" s="54">
        <f t="shared" si="0"/>
        <v>8473.8972294061005</v>
      </c>
    </row>
    <row r="9" spans="1:53">
      <c r="A9" s="115" t="s">
        <v>326</v>
      </c>
      <c r="B9" s="113" t="s">
        <v>76</v>
      </c>
      <c r="C9" s="54">
        <v>7.5328404920261205</v>
      </c>
      <c r="D9" s="54">
        <v>0.15520711017464711</v>
      </c>
      <c r="E9" s="54">
        <v>63.177812472116052</v>
      </c>
      <c r="F9" s="54">
        <v>9.6404749985456331</v>
      </c>
      <c r="G9" s="54">
        <v>360.6860993734515</v>
      </c>
      <c r="H9" s="54">
        <v>4.2381551098221708</v>
      </c>
      <c r="I9" s="54">
        <v>610.8021180543268</v>
      </c>
      <c r="J9" s="54">
        <v>3.2747855481532175</v>
      </c>
      <c r="K9" s="54">
        <v>2844.4271300109049</v>
      </c>
      <c r="L9" s="54">
        <v>16.449218937102984</v>
      </c>
      <c r="M9" s="54">
        <v>204.35448804349892</v>
      </c>
      <c r="N9" s="54">
        <v>0.61374037153252603</v>
      </c>
      <c r="O9" s="54">
        <v>216.80517996017659</v>
      </c>
      <c r="P9" s="54">
        <v>1.4388617452076689</v>
      </c>
      <c r="Q9">
        <v>230.02395303358787</v>
      </c>
      <c r="R9">
        <v>2.2882946082491857</v>
      </c>
      <c r="S9">
        <v>2407.5217542176415</v>
      </c>
      <c r="T9">
        <v>9.5816770681642982</v>
      </c>
      <c r="U9" s="54">
        <v>649.74616022772364</v>
      </c>
      <c r="V9" s="54">
        <v>4.0914071345752285</v>
      </c>
      <c r="W9" s="54">
        <v>22.988571740396566</v>
      </c>
      <c r="X9" s="54">
        <v>4.0265394206509111</v>
      </c>
      <c r="Y9" s="54">
        <v>123.79122658518608</v>
      </c>
      <c r="Z9" s="54">
        <v>4.1127116246251019</v>
      </c>
      <c r="AA9" s="54">
        <v>49.81927190007108</v>
      </c>
      <c r="AB9" s="54">
        <v>3.6410979379449007</v>
      </c>
      <c r="AC9" s="54">
        <v>4.3119503816073488</v>
      </c>
      <c r="AD9" s="54">
        <v>1.2042078045254725</v>
      </c>
      <c r="AE9" s="54">
        <v>28.395287180425576</v>
      </c>
      <c r="AF9" s="54">
        <v>1.9793353815617993</v>
      </c>
      <c r="AG9" s="54">
        <v>23.637251963909989</v>
      </c>
      <c r="AH9" s="54">
        <v>1.7871284976343424</v>
      </c>
      <c r="AI9" s="54">
        <v>13.948518656747773</v>
      </c>
      <c r="AJ9" s="54">
        <v>2.8441302389902066</v>
      </c>
      <c r="AK9" s="54">
        <v>19.879046272026791</v>
      </c>
      <c r="AL9" s="54">
        <v>3.3631086423804759</v>
      </c>
      <c r="AM9" s="54">
        <v>65.278365981942542</v>
      </c>
      <c r="AN9" s="54">
        <v>6.6664429094490067</v>
      </c>
      <c r="AO9" s="54">
        <v>35.565060557576672</v>
      </c>
      <c r="AP9" s="54">
        <v>5.550383014865143</v>
      </c>
      <c r="AQ9" s="54">
        <v>7.0988872941522114</v>
      </c>
      <c r="AR9" s="54">
        <v>2.8514673761645031</v>
      </c>
      <c r="AS9" s="54">
        <v>15.508432920869993</v>
      </c>
      <c r="AT9" s="54">
        <v>2.9002664033278212</v>
      </c>
      <c r="AU9" s="54">
        <v>2.9737990682661577</v>
      </c>
      <c r="AV9" s="54">
        <v>0.1572642815642763</v>
      </c>
      <c r="AW9" s="54">
        <v>57.369007381137095</v>
      </c>
      <c r="AX9" s="54">
        <v>0.5862462336675569</v>
      </c>
      <c r="AY9" s="54">
        <v>8.338818778616961</v>
      </c>
      <c r="AZ9" s="54">
        <v>0.3334140502344381</v>
      </c>
      <c r="BA9" s="54">
        <f t="shared" si="0"/>
        <v>8073.9810325483868</v>
      </c>
    </row>
    <row r="10" spans="1:53">
      <c r="A10" s="115" t="s">
        <v>327</v>
      </c>
      <c r="B10" s="113" t="s">
        <v>77</v>
      </c>
      <c r="C10" s="54">
        <v>6.0564186087613683</v>
      </c>
      <c r="D10" s="54">
        <v>0.53634195606105395</v>
      </c>
      <c r="E10" s="54">
        <v>27.931804685703177</v>
      </c>
      <c r="F10" s="54">
        <v>16.566667590130223</v>
      </c>
      <c r="G10" s="54">
        <v>355.46124203389797</v>
      </c>
      <c r="H10" s="54">
        <v>55.358770639130938</v>
      </c>
      <c r="I10" s="54">
        <v>615.68384206912901</v>
      </c>
      <c r="J10" s="54">
        <v>56.39042083628631</v>
      </c>
      <c r="K10" s="54">
        <v>2671.7973709182165</v>
      </c>
      <c r="L10" s="54">
        <v>200.58460221527756</v>
      </c>
      <c r="M10" s="54">
        <v>181.28639901639892</v>
      </c>
      <c r="N10" s="54">
        <v>13.121159998475187</v>
      </c>
      <c r="O10" s="54">
        <v>222.25684911085767</v>
      </c>
      <c r="P10" s="54">
        <v>16.548888046537126</v>
      </c>
      <c r="Q10">
        <v>242.61268763958526</v>
      </c>
      <c r="R10">
        <v>17.830193887997478</v>
      </c>
      <c r="S10">
        <v>2824.584126939003</v>
      </c>
      <c r="T10">
        <v>226.70979805181648</v>
      </c>
      <c r="U10" s="54">
        <v>663.25736010171545</v>
      </c>
      <c r="V10" s="54">
        <v>48.267898175900598</v>
      </c>
      <c r="W10" s="54">
        <v>22.149901001912241</v>
      </c>
      <c r="X10" s="54">
        <v>5.3068542320943548</v>
      </c>
      <c r="Y10" s="54">
        <v>124.59063623377887</v>
      </c>
      <c r="Z10" s="54">
        <v>5.447636997454488</v>
      </c>
      <c r="AA10" s="54">
        <v>51.443538212776247</v>
      </c>
      <c r="AB10" s="54">
        <v>1.9523307433354291</v>
      </c>
      <c r="AC10" s="54">
        <v>3.9128950785631966</v>
      </c>
      <c r="AD10" s="54">
        <v>1.2267448588870784</v>
      </c>
      <c r="AE10" s="54">
        <v>29.244984809869887</v>
      </c>
      <c r="AF10" s="54">
        <v>0.91383820317578124</v>
      </c>
      <c r="AG10" s="54">
        <v>23.794132331367841</v>
      </c>
      <c r="AH10" s="54">
        <v>0.80701202560844398</v>
      </c>
      <c r="AI10" s="54">
        <v>14.295275079045819</v>
      </c>
      <c r="AJ10" s="54">
        <v>2.1679105036477084</v>
      </c>
      <c r="AK10" s="54">
        <v>18.784665941712966</v>
      </c>
      <c r="AL10" s="54">
        <v>4.4098367405685694</v>
      </c>
      <c r="AM10" s="54">
        <v>54.751949811313565</v>
      </c>
      <c r="AN10" s="54">
        <v>5.3971041387972507</v>
      </c>
      <c r="AO10" s="54">
        <v>26.40424121167473</v>
      </c>
      <c r="AP10" s="54">
        <v>3.0379323312666413</v>
      </c>
      <c r="AQ10" s="54">
        <v>3.9816162618494677</v>
      </c>
      <c r="AR10" s="54">
        <v>5.9831381575700664E-2</v>
      </c>
      <c r="AS10" s="54">
        <v>12.579127672293708</v>
      </c>
      <c r="AT10" s="54">
        <v>1.0785768808388756</v>
      </c>
      <c r="AU10" s="54">
        <v>3.0373768463379291</v>
      </c>
      <c r="AV10" s="54">
        <v>0.28286661699146792</v>
      </c>
      <c r="AW10" s="54">
        <v>44.699193368651322</v>
      </c>
      <c r="AX10" s="54">
        <v>5.2304137349553539</v>
      </c>
      <c r="AY10" s="54">
        <v>6.3241173931825934</v>
      </c>
      <c r="AZ10" s="54">
        <v>0.90938672188792258</v>
      </c>
      <c r="BA10" s="54">
        <f t="shared" si="0"/>
        <v>8250.9217523775988</v>
      </c>
    </row>
    <row r="11" spans="1:53">
      <c r="A11" s="115" t="s">
        <v>328</v>
      </c>
      <c r="B11" s="113" t="s">
        <v>74</v>
      </c>
      <c r="C11" s="54">
        <v>25.202281974654813</v>
      </c>
      <c r="D11" s="54">
        <v>10.260230098921033</v>
      </c>
      <c r="E11" s="54">
        <v>47.11797447451157</v>
      </c>
      <c r="F11" s="54">
        <v>0.90921911550654189</v>
      </c>
      <c r="G11" s="54">
        <v>168.60007963082342</v>
      </c>
      <c r="H11" s="54">
        <v>0.56633133108678202</v>
      </c>
      <c r="I11" s="54">
        <v>301.88909463223024</v>
      </c>
      <c r="J11" s="54">
        <v>1.0546116347823322</v>
      </c>
      <c r="K11" s="54">
        <v>1518.3637757361307</v>
      </c>
      <c r="L11" s="54">
        <v>0.52740342282998043</v>
      </c>
      <c r="M11" s="54">
        <v>112.03573218398428</v>
      </c>
      <c r="N11" s="54">
        <v>6.2317157086350508E-2</v>
      </c>
      <c r="O11" s="54">
        <v>105.25369234575004</v>
      </c>
      <c r="P11" s="54">
        <v>0.77517823521493334</v>
      </c>
      <c r="Q11">
        <v>107.46583299609546</v>
      </c>
      <c r="R11">
        <v>0.17215916917557886</v>
      </c>
      <c r="S11">
        <v>1094.6010364788126</v>
      </c>
      <c r="T11">
        <v>4.8541384853938929</v>
      </c>
      <c r="U11" s="54">
        <v>335.49485496128591</v>
      </c>
      <c r="V11" s="54">
        <v>1.2172557012435206</v>
      </c>
      <c r="W11" s="54">
        <v>10.073430800289845</v>
      </c>
      <c r="X11" s="54">
        <v>0.74221655628095384</v>
      </c>
      <c r="Y11" s="54">
        <v>66.507128498004931</v>
      </c>
      <c r="Z11" s="54">
        <v>1.7513431592117037</v>
      </c>
      <c r="AA11" s="54">
        <v>21.776191137922631</v>
      </c>
      <c r="AB11" s="54">
        <v>0.92767529245878189</v>
      </c>
      <c r="AC11" s="54">
        <v>2.248257652711132</v>
      </c>
      <c r="AD11" s="54">
        <v>0.83310492182525264</v>
      </c>
      <c r="AE11" s="54">
        <v>13.64775618898207</v>
      </c>
      <c r="AF11" s="54">
        <v>0.90915934084265426</v>
      </c>
      <c r="AG11" s="54">
        <v>11.420834076517519</v>
      </c>
      <c r="AH11" s="54">
        <v>0.84840568583981357</v>
      </c>
      <c r="AI11" s="54">
        <v>5.8386948851530214</v>
      </c>
      <c r="AJ11" s="54">
        <v>0.26760490927275504</v>
      </c>
      <c r="AK11" s="54">
        <v>8.9803322187653265</v>
      </c>
      <c r="AL11" s="54">
        <v>3.1510833023544745E-2</v>
      </c>
      <c r="AM11" s="54">
        <v>34.72123897093158</v>
      </c>
      <c r="AN11" s="54">
        <v>0.16669428429577055</v>
      </c>
      <c r="AO11" s="54">
        <v>20.064708793593901</v>
      </c>
      <c r="AP11" s="54">
        <v>1.4910664279493882</v>
      </c>
      <c r="AQ11" s="54">
        <v>2.60106567514684</v>
      </c>
      <c r="AR11" s="54">
        <v>3.4561033579451034E-2</v>
      </c>
      <c r="AS11" s="54">
        <v>7.7139670871364183</v>
      </c>
      <c r="AT11" s="54">
        <v>0.38589662379789502</v>
      </c>
      <c r="AU11" s="54">
        <v>1.9916566779262423</v>
      </c>
      <c r="AV11" s="54">
        <v>3.8084679656373514E-2</v>
      </c>
      <c r="AW11" s="54">
        <v>34.20445773164731</v>
      </c>
      <c r="AX11" s="54">
        <v>2.3872463052103891E-2</v>
      </c>
      <c r="AY11" s="54">
        <v>5.3257989716676111</v>
      </c>
      <c r="AZ11" s="54">
        <v>0.2751589502659807</v>
      </c>
      <c r="BA11" s="54">
        <f t="shared" si="0"/>
        <v>4063.1398747806757</v>
      </c>
    </row>
    <row r="12" spans="1:53">
      <c r="A12" s="115" t="s">
        <v>329</v>
      </c>
      <c r="B12" s="113" t="s">
        <v>75</v>
      </c>
      <c r="C12" s="54">
        <v>42.108994573716899</v>
      </c>
      <c r="D12" s="54">
        <v>6.6125499815472599</v>
      </c>
      <c r="E12" s="54">
        <v>45.235844452062139</v>
      </c>
      <c r="F12" s="54">
        <v>4.9018941715938995</v>
      </c>
      <c r="G12" s="54">
        <v>161.08002301940508</v>
      </c>
      <c r="H12" s="54">
        <v>20.442153196758081</v>
      </c>
      <c r="I12" s="54">
        <v>278.72576989902694</v>
      </c>
      <c r="J12" s="54">
        <v>34.55785174475713</v>
      </c>
      <c r="K12" s="54">
        <v>1370.1051171044228</v>
      </c>
      <c r="L12" s="54">
        <v>170.96671592597656</v>
      </c>
      <c r="M12" s="54">
        <v>99.672829103246016</v>
      </c>
      <c r="N12" s="54">
        <v>12.590551484379075</v>
      </c>
      <c r="O12" s="54">
        <v>99.215979520948338</v>
      </c>
      <c r="P12" s="54">
        <v>12.636927185951546</v>
      </c>
      <c r="Q12">
        <v>100.82655105145257</v>
      </c>
      <c r="R12">
        <v>12.774386454140027</v>
      </c>
      <c r="S12">
        <v>1039.6304623044045</v>
      </c>
      <c r="T12">
        <v>131.66596999209256</v>
      </c>
      <c r="U12" s="54">
        <v>299.60233999451555</v>
      </c>
      <c r="V12" s="54">
        <v>38.03111768962173</v>
      </c>
      <c r="W12" s="54">
        <v>9.7962349314542863</v>
      </c>
      <c r="X12" s="54">
        <v>1.6658729927340883</v>
      </c>
      <c r="Y12" s="54">
        <v>53.536069516160154</v>
      </c>
      <c r="Z12" s="54">
        <v>5.5984590161753935</v>
      </c>
      <c r="AA12" s="54">
        <v>22.132134897464802</v>
      </c>
      <c r="AB12" s="54">
        <v>3.1751335408782784</v>
      </c>
      <c r="AC12" s="54">
        <v>1.5979979970394211</v>
      </c>
      <c r="AD12" s="54">
        <v>0.18304993174657136</v>
      </c>
      <c r="AE12" s="54">
        <v>12.771412589743463</v>
      </c>
      <c r="AF12" s="54">
        <v>1.7366909020601757</v>
      </c>
      <c r="AG12" s="54">
        <v>10.683513787066287</v>
      </c>
      <c r="AH12" s="54">
        <v>1.6068582877443878</v>
      </c>
      <c r="AI12" s="54">
        <v>5.9909941678075374</v>
      </c>
      <c r="AJ12" s="54">
        <v>0.64941199701639174</v>
      </c>
      <c r="AK12" s="54">
        <v>8.3154580479101554</v>
      </c>
      <c r="AL12" s="54">
        <v>0.89688962479872814</v>
      </c>
      <c r="AM12" s="54">
        <v>31.01767609742749</v>
      </c>
      <c r="AN12" s="54">
        <v>3.756088636586044</v>
      </c>
      <c r="AO12" s="54">
        <v>15.628918707925191</v>
      </c>
      <c r="AP12" s="54">
        <v>1.7647494407506699</v>
      </c>
      <c r="AQ12" s="54">
        <v>2.2542917947685086</v>
      </c>
      <c r="AR12" s="54">
        <v>0.11578031721429154</v>
      </c>
      <c r="AS12" s="54">
        <v>6.8481878607287605</v>
      </c>
      <c r="AT12" s="54">
        <v>0.90438417844182184</v>
      </c>
      <c r="AU12" s="54">
        <v>1.6125299119450056</v>
      </c>
      <c r="AV12" s="54">
        <v>0.21751216108839272</v>
      </c>
      <c r="AW12" s="54">
        <v>29.249979247658679</v>
      </c>
      <c r="AX12" s="54">
        <v>4.3305183785939967</v>
      </c>
      <c r="AY12" s="54">
        <v>4.4205458842390071</v>
      </c>
      <c r="AZ12" s="54">
        <v>0.68977277532365155</v>
      </c>
      <c r="BA12" s="54">
        <f t="shared" si="0"/>
        <v>3752.0598564625379</v>
      </c>
    </row>
    <row r="13" spans="1:53">
      <c r="A13" s="115" t="s">
        <v>330</v>
      </c>
      <c r="B13" s="113" t="s">
        <v>76</v>
      </c>
      <c r="C13" s="54">
        <v>32.504375901215845</v>
      </c>
      <c r="D13" s="54">
        <v>10.017226394247594</v>
      </c>
      <c r="E13" s="54">
        <v>59.743911463531418</v>
      </c>
      <c r="F13" s="54">
        <v>4.9329565639556749</v>
      </c>
      <c r="G13" s="54">
        <v>214.30853121573821</v>
      </c>
      <c r="H13" s="54">
        <v>1.0544047164755674</v>
      </c>
      <c r="I13" s="54">
        <v>336.5588042557132</v>
      </c>
      <c r="J13" s="54">
        <v>0.67067538548664007</v>
      </c>
      <c r="K13" s="54">
        <v>1549.0477073863137</v>
      </c>
      <c r="L13" s="54">
        <v>0.96151899458528922</v>
      </c>
      <c r="M13" s="54">
        <v>111.06913357038115</v>
      </c>
      <c r="N13" s="54">
        <v>0.51984602159093796</v>
      </c>
      <c r="O13" s="54">
        <v>118.79799820283749</v>
      </c>
      <c r="P13" s="54">
        <v>0.12184075902597442</v>
      </c>
      <c r="Q13">
        <v>123.99393009408023</v>
      </c>
      <c r="R13">
        <v>2.1305364832692963</v>
      </c>
      <c r="S13">
        <v>1342.4363663544073</v>
      </c>
      <c r="T13">
        <v>5.4146587645529376</v>
      </c>
      <c r="U13" s="54">
        <v>352.402504999634</v>
      </c>
      <c r="V13" s="54">
        <v>0.63214857951047776</v>
      </c>
      <c r="W13" s="54">
        <v>10.175292612268574</v>
      </c>
      <c r="X13" s="54">
        <v>8.1903719494787808E-2</v>
      </c>
      <c r="Y13" s="54">
        <v>64.814404016991389</v>
      </c>
      <c r="Z13" s="54">
        <v>0.12839188173016775</v>
      </c>
      <c r="AA13" s="54">
        <v>23.936327889232675</v>
      </c>
      <c r="AB13" s="54">
        <v>1.0498811467418727</v>
      </c>
      <c r="AC13" s="54">
        <v>1.5783880273535853</v>
      </c>
      <c r="AD13" s="54">
        <v>9.9919011564639004E-2</v>
      </c>
      <c r="AE13" s="54">
        <v>14.544958741442427</v>
      </c>
      <c r="AF13" s="54">
        <v>0.20336430946930409</v>
      </c>
      <c r="AG13" s="54">
        <v>12.076311653527407</v>
      </c>
      <c r="AH13" s="54">
        <v>0.17968601791106303</v>
      </c>
      <c r="AI13" s="54">
        <v>6.2946437506737976</v>
      </c>
      <c r="AJ13" s="54">
        <v>0.41054553078469014</v>
      </c>
      <c r="AK13" s="54">
        <v>9.1687372230717994</v>
      </c>
      <c r="AL13" s="54">
        <v>0.33804197056082841</v>
      </c>
      <c r="AM13" s="54">
        <v>31.738779087762033</v>
      </c>
      <c r="AN13" s="54">
        <v>0.7280072113850562</v>
      </c>
      <c r="AO13" s="54">
        <v>17.427621027586959</v>
      </c>
      <c r="AP13" s="54">
        <v>0.31645985192675796</v>
      </c>
      <c r="AQ13" s="54">
        <v>2.5743064501038795</v>
      </c>
      <c r="AR13" s="54">
        <v>7.8477120173403251E-3</v>
      </c>
      <c r="AS13" s="54">
        <v>7.695574914871159</v>
      </c>
      <c r="AT13" s="54">
        <v>3.8295373176424959E-2</v>
      </c>
      <c r="AU13" s="54">
        <v>1.7730055678894894</v>
      </c>
      <c r="AV13" s="54">
        <v>7.4708394416374016E-2</v>
      </c>
      <c r="AW13" s="54">
        <v>30.555719356282246</v>
      </c>
      <c r="AX13" s="54">
        <v>2.6926746513545739E-2</v>
      </c>
      <c r="AY13" s="54">
        <v>4.6456641512987922</v>
      </c>
      <c r="AZ13" s="54">
        <v>5.3296667155709344E-3</v>
      </c>
      <c r="BA13" s="54">
        <f t="shared" si="0"/>
        <v>4479.8629979142079</v>
      </c>
    </row>
    <row r="14" spans="1:53">
      <c r="A14" s="115" t="s">
        <v>331</v>
      </c>
      <c r="B14" s="113" t="s">
        <v>77</v>
      </c>
      <c r="C14" s="54">
        <v>12.644329400395607</v>
      </c>
      <c r="D14" s="54">
        <v>5.4159809823738687</v>
      </c>
      <c r="E14" s="54">
        <v>65.865885639737286</v>
      </c>
      <c r="F14" s="54">
        <v>28.861616749241964</v>
      </c>
      <c r="G14" s="54">
        <v>247.40341828263905</v>
      </c>
      <c r="H14" s="54">
        <v>33.070473760736014</v>
      </c>
      <c r="I14" s="54">
        <v>363.38994608077468</v>
      </c>
      <c r="J14" s="54">
        <v>31.83003175182165</v>
      </c>
      <c r="K14" s="54">
        <v>1567.2527011264708</v>
      </c>
      <c r="L14" s="54">
        <v>124.40562249213519</v>
      </c>
      <c r="M14" s="54">
        <v>106.45574988283295</v>
      </c>
      <c r="N14" s="54">
        <v>8.2661101512331143</v>
      </c>
      <c r="O14" s="54">
        <v>129.60321148256884</v>
      </c>
      <c r="P14" s="54">
        <v>10.075735522189833</v>
      </c>
      <c r="Q14">
        <v>139.67013836679885</v>
      </c>
      <c r="R14">
        <v>9.8070168470021315</v>
      </c>
      <c r="S14">
        <v>1652.9537009744513</v>
      </c>
      <c r="T14">
        <v>128.24942363223866</v>
      </c>
      <c r="U14" s="54">
        <v>381.91497995458798</v>
      </c>
      <c r="V14" s="54">
        <v>28.224664754265543</v>
      </c>
      <c r="W14" s="54">
        <v>10.423782810410565</v>
      </c>
      <c r="X14" s="54">
        <v>0.53955431867142012</v>
      </c>
      <c r="Y14" s="54">
        <v>67.136548792748613</v>
      </c>
      <c r="Z14" s="54">
        <v>5.8125189870656078</v>
      </c>
      <c r="AA14" s="54">
        <v>26.481588592952129</v>
      </c>
      <c r="AB14" s="54">
        <v>0.63463294290561245</v>
      </c>
      <c r="AC14" s="54">
        <v>1.5559274334855786</v>
      </c>
      <c r="AD14" s="54">
        <v>5.8732817300219405E-2</v>
      </c>
      <c r="AE14" s="54">
        <v>16.165539461548249</v>
      </c>
      <c r="AF14" s="54">
        <v>1.2306386034551142</v>
      </c>
      <c r="AG14" s="54">
        <v>13.081566795704147</v>
      </c>
      <c r="AH14" s="54">
        <v>0.85181973258244914</v>
      </c>
      <c r="AI14" s="54">
        <v>6.3343866393598818</v>
      </c>
      <c r="AJ14" s="54">
        <v>1.4889204671129428</v>
      </c>
      <c r="AK14" s="54">
        <v>9.5137244254288618</v>
      </c>
      <c r="AL14" s="54">
        <v>1.5786483904398099</v>
      </c>
      <c r="AM14" s="54">
        <v>28.095681162468765</v>
      </c>
      <c r="AN14" s="54">
        <v>2.0888452558726232</v>
      </c>
      <c r="AO14" s="54">
        <v>14.648549899502125</v>
      </c>
      <c r="AP14" s="54">
        <v>0.43001067493463796</v>
      </c>
      <c r="AQ14" s="54">
        <v>2.2977538294909214</v>
      </c>
      <c r="AR14" s="54">
        <v>0.30579199663592443</v>
      </c>
      <c r="AS14" s="54">
        <v>6.9175066024744751</v>
      </c>
      <c r="AT14" s="54">
        <v>0.40237398408428093</v>
      </c>
      <c r="AU14" s="54">
        <v>1.9473520509138802</v>
      </c>
      <c r="AV14" s="54">
        <v>0.28929275524882875</v>
      </c>
      <c r="AW14" s="54">
        <v>24.683855266395913</v>
      </c>
      <c r="AX14" s="54">
        <v>0.87761476153226314</v>
      </c>
      <c r="AY14" s="54">
        <v>3.6671528632075496</v>
      </c>
      <c r="AZ14" s="54">
        <v>1.6750429893192909E-2</v>
      </c>
      <c r="BA14" s="54">
        <f t="shared" si="0"/>
        <v>4900.1049778173492</v>
      </c>
    </row>
    <row r="20" spans="1:57" ht="18.600000000000001">
      <c r="A20" s="84" t="s">
        <v>1</v>
      </c>
      <c r="B20" s="85" t="s">
        <v>61</v>
      </c>
      <c r="C20" s="114">
        <v>0.25</v>
      </c>
      <c r="D20" s="114">
        <v>0.33333333333333331</v>
      </c>
      <c r="E20" s="114">
        <v>0.41666666666666669</v>
      </c>
      <c r="F20" s="114">
        <v>0.5</v>
      </c>
      <c r="G20" s="114">
        <v>0.58333333333333337</v>
      </c>
      <c r="H20" s="58" t="s">
        <v>303</v>
      </c>
      <c r="I20" s="114">
        <v>0.625</v>
      </c>
      <c r="J20" s="114">
        <v>0.70833333333333337</v>
      </c>
      <c r="K20" s="114">
        <v>0.75</v>
      </c>
      <c r="L20" s="58" t="s">
        <v>304</v>
      </c>
      <c r="M20" s="58" t="s">
        <v>305</v>
      </c>
      <c r="N20" s="58" t="s">
        <v>306</v>
      </c>
      <c r="O20" s="114">
        <v>0.83333333333333337</v>
      </c>
      <c r="P20" s="58" t="s">
        <v>307</v>
      </c>
      <c r="Q20" s="58" t="s">
        <v>308</v>
      </c>
      <c r="R20" s="58" t="s">
        <v>309</v>
      </c>
      <c r="S20" s="58" t="s">
        <v>310</v>
      </c>
      <c r="T20" s="114">
        <v>0.91666666666666663</v>
      </c>
      <c r="U20" s="58" t="s">
        <v>311</v>
      </c>
      <c r="V20" s="58" t="s">
        <v>312</v>
      </c>
      <c r="W20" s="58" t="s">
        <v>313</v>
      </c>
      <c r="X20" s="58" t="s">
        <v>314</v>
      </c>
      <c r="Y20" s="58" t="s">
        <v>315</v>
      </c>
      <c r="Z20" s="58" t="s">
        <v>316</v>
      </c>
      <c r="AA20" s="58" t="s">
        <v>317</v>
      </c>
      <c r="AB20" s="58" t="s">
        <v>318</v>
      </c>
      <c r="AD20" s="1" t="s">
        <v>1</v>
      </c>
      <c r="AE20" s="9" t="s">
        <v>61</v>
      </c>
      <c r="AF20" s="116">
        <v>0.25</v>
      </c>
      <c r="AG20" s="116">
        <v>0.33333333333333331</v>
      </c>
      <c r="AH20" s="116">
        <v>0.41666666666666669</v>
      </c>
      <c r="AI20" s="116">
        <v>0.5</v>
      </c>
      <c r="AJ20" s="116">
        <v>0.58333333333333337</v>
      </c>
      <c r="AK20" s="1" t="s">
        <v>303</v>
      </c>
      <c r="AL20" s="116">
        <v>0.625</v>
      </c>
      <c r="AM20" s="116">
        <v>0.70833333333333337</v>
      </c>
      <c r="AN20" s="116">
        <v>0.75</v>
      </c>
      <c r="AO20" s="1" t="s">
        <v>304</v>
      </c>
      <c r="AP20" s="1" t="s">
        <v>305</v>
      </c>
      <c r="AQ20" s="1" t="s">
        <v>306</v>
      </c>
      <c r="AR20" s="116">
        <v>0.83333333333333337</v>
      </c>
      <c r="AS20" s="1" t="s">
        <v>307</v>
      </c>
      <c r="AT20" s="1" t="s">
        <v>308</v>
      </c>
      <c r="AU20" s="1" t="s">
        <v>309</v>
      </c>
      <c r="AV20" s="1" t="s">
        <v>310</v>
      </c>
      <c r="AW20" s="116">
        <v>0.91666666666666663</v>
      </c>
      <c r="AX20" s="1" t="s">
        <v>311</v>
      </c>
      <c r="AY20" s="1" t="s">
        <v>312</v>
      </c>
      <c r="AZ20" s="1" t="s">
        <v>313</v>
      </c>
      <c r="BA20" s="1" t="s">
        <v>314</v>
      </c>
      <c r="BB20" s="1" t="s">
        <v>315</v>
      </c>
      <c r="BC20" s="1" t="s">
        <v>316</v>
      </c>
      <c r="BD20" s="1" t="s">
        <v>317</v>
      </c>
      <c r="BE20" s="1" t="s">
        <v>318</v>
      </c>
    </row>
    <row r="21" spans="1:57" ht="15.6">
      <c r="A21" s="86" t="s">
        <v>9</v>
      </c>
      <c r="B21" s="87">
        <v>0.25479248625475714</v>
      </c>
      <c r="C21" s="27">
        <v>5.6019068460168411</v>
      </c>
      <c r="D21" s="27">
        <v>8.7270588228719355</v>
      </c>
      <c r="E21" s="27">
        <v>121.85361243127082</v>
      </c>
      <c r="F21" s="27">
        <v>422.03347142949519</v>
      </c>
      <c r="G21" s="27">
        <v>2718.5196841722823</v>
      </c>
      <c r="H21" s="27">
        <v>203.9325376490213</v>
      </c>
      <c r="I21" s="27">
        <v>228.96315037043524</v>
      </c>
      <c r="J21" s="118">
        <v>186.7706735911745</v>
      </c>
      <c r="K21" s="118">
        <v>1125.1053015142388</v>
      </c>
      <c r="L21" s="27">
        <v>383.22006711618417</v>
      </c>
      <c r="M21" s="27">
        <v>14.553324415267166</v>
      </c>
      <c r="N21" s="27">
        <v>134.06161764762942</v>
      </c>
      <c r="O21" s="27">
        <v>33.300274863550968</v>
      </c>
      <c r="P21" s="27">
        <v>3.7347617022938335</v>
      </c>
      <c r="Q21" s="27">
        <v>19.027399023276644</v>
      </c>
      <c r="R21" s="27">
        <v>16.220661604748958</v>
      </c>
      <c r="S21" s="27">
        <v>9.7806751947964194</v>
      </c>
      <c r="T21" s="27">
        <v>18.086544288425713</v>
      </c>
      <c r="U21" s="27">
        <v>51.583945576113933</v>
      </c>
      <c r="V21" s="27">
        <v>52.11495493638364</v>
      </c>
      <c r="W21" s="27">
        <v>7.6308872590179497</v>
      </c>
      <c r="X21" s="27">
        <v>7.6448116014252134</v>
      </c>
      <c r="Y21" s="27">
        <v>2.4875701035541695</v>
      </c>
      <c r="Z21" s="27">
        <v>86.971034596230652</v>
      </c>
      <c r="AA21" s="27">
        <v>15.695667300276565</v>
      </c>
      <c r="AB21" s="27">
        <f t="shared" ref="AB21:AB33" si="1">C21+D21+E21+F21+G21+H21+I21+J21+K21+L21+M21+N21+O21+P21+Q21+R21+S21+T21+U21+V21+W21+X21+Y21+Z21+AA21</f>
        <v>5877.6215940559841</v>
      </c>
      <c r="AD21" s="1" t="s">
        <v>9</v>
      </c>
      <c r="AE21" s="9">
        <v>0.25479248625475714</v>
      </c>
      <c r="AF21" s="1">
        <v>21.978670124518501</v>
      </c>
      <c r="AG21" s="1">
        <v>34.263176819115401</v>
      </c>
      <c r="AH21" s="1">
        <v>478.232313334389</v>
      </c>
      <c r="AI21" s="1">
        <v>1656.3675272590201</v>
      </c>
      <c r="AJ21" s="1">
        <v>10669.5454119475</v>
      </c>
      <c r="AK21" s="1">
        <v>800.37682115947496</v>
      </c>
      <c r="AL21" s="1">
        <v>898.61362709102798</v>
      </c>
      <c r="AM21" s="1">
        <v>733.03053999794895</v>
      </c>
      <c r="AN21" s="1">
        <v>4415.7711228579901</v>
      </c>
      <c r="AO21" s="1">
        <v>1504.0474937710601</v>
      </c>
      <c r="AP21" s="1">
        <v>57.105294698525697</v>
      </c>
      <c r="AQ21" s="1">
        <v>526.15366373088398</v>
      </c>
      <c r="AR21" s="1">
        <v>130.69459199043999</v>
      </c>
      <c r="AS21" s="1">
        <v>14.6393642079382</v>
      </c>
      <c r="AT21" s="1">
        <v>74.688230798140495</v>
      </c>
      <c r="AU21" s="1">
        <v>63.6596481106589</v>
      </c>
      <c r="AV21" s="1">
        <v>38.3841774674626</v>
      </c>
      <c r="AW21" s="1">
        <v>70.998954027239193</v>
      </c>
      <c r="AX21" s="1">
        <v>202.43925089690401</v>
      </c>
      <c r="AY21" s="1">
        <v>204.51937503368899</v>
      </c>
      <c r="AZ21" s="1">
        <v>29.945938044656401</v>
      </c>
      <c r="BA21" s="1">
        <v>29.985185669878799</v>
      </c>
      <c r="BB21" s="1">
        <v>9.7726586803662592</v>
      </c>
      <c r="BC21" s="1">
        <v>341.33659655881598</v>
      </c>
      <c r="BD21" s="1">
        <v>61.618771599096497</v>
      </c>
      <c r="BE21" s="1">
        <f>AF21+AG21+AH21+AI21+AJ21+AK21+AL21+AM21+AN21+AO21+AP21+AQ21+AR21+AS21+AT21+AU21+AV21+AW21+AX21+AY21+AZ21+BA21+BB21+BC21+BD21</f>
        <v>23068.168405876739</v>
      </c>
    </row>
    <row r="22" spans="1:57" ht="15.6">
      <c r="A22" s="86" t="s">
        <v>10</v>
      </c>
      <c r="B22" s="87">
        <v>0.2665647596489939</v>
      </c>
      <c r="C22" s="27">
        <v>7.3889777718211676</v>
      </c>
      <c r="D22" s="27">
        <v>71.128133307343333</v>
      </c>
      <c r="E22" s="27">
        <v>347.76151229372891</v>
      </c>
      <c r="F22" s="27">
        <v>725.63487783684309</v>
      </c>
      <c r="G22" s="27">
        <v>3916.9418203055993</v>
      </c>
      <c r="H22" s="27">
        <v>287.99729096248075</v>
      </c>
      <c r="I22" s="27">
        <v>262.99681343040879</v>
      </c>
      <c r="J22" s="118">
        <v>295.97442531254467</v>
      </c>
      <c r="K22" s="118">
        <v>2335.3665686917693</v>
      </c>
      <c r="L22" s="27">
        <v>758.50547938798513</v>
      </c>
      <c r="M22" s="27">
        <v>21.633647907304358</v>
      </c>
      <c r="N22" s="27">
        <v>117.87685262908425</v>
      </c>
      <c r="O22" s="27">
        <v>51.55973801795048</v>
      </c>
      <c r="P22" s="27">
        <v>5.9962488763086528</v>
      </c>
      <c r="Q22" s="27">
        <v>30.973689308373004</v>
      </c>
      <c r="R22" s="27">
        <v>24.603893227272522</v>
      </c>
      <c r="S22" s="27">
        <v>14.68032888763439</v>
      </c>
      <c r="T22" s="27">
        <v>21.289334410548715</v>
      </c>
      <c r="U22" s="27">
        <v>109.63639868174748</v>
      </c>
      <c r="V22" s="27">
        <v>48.629616338045665</v>
      </c>
      <c r="W22" s="27">
        <v>7.0711865677185779</v>
      </c>
      <c r="X22" s="27">
        <v>21.306720014023401</v>
      </c>
      <c r="Y22" s="27">
        <v>4.8548809165053655</v>
      </c>
      <c r="Z22" s="27">
        <v>109.04403024350094</v>
      </c>
      <c r="AA22" s="27">
        <v>17.010520245562819</v>
      </c>
      <c r="AB22" s="27">
        <f t="shared" si="1"/>
        <v>9615.8629855721047</v>
      </c>
      <c r="AD22" s="1" t="s">
        <v>10</v>
      </c>
      <c r="AE22" s="9">
        <v>0.2665647596489939</v>
      </c>
      <c r="AF22" s="1">
        <v>27.723094380517502</v>
      </c>
      <c r="AG22" s="1">
        <v>266.83947270449301</v>
      </c>
      <c r="AH22" s="1">
        <v>1304.5985523367699</v>
      </c>
      <c r="AI22" s="1">
        <v>2722.1527706813099</v>
      </c>
      <c r="AJ22" s="1">
        <v>14694.140365740701</v>
      </c>
      <c r="AK22" s="1">
        <v>1080.4128797819999</v>
      </c>
      <c r="AL22" s="1">
        <v>986.62703952315303</v>
      </c>
      <c r="AM22" s="1">
        <v>1110.32840687568</v>
      </c>
      <c r="AN22" s="1">
        <v>8760.9726394441604</v>
      </c>
      <c r="AO22" s="1">
        <v>2845.4999077897601</v>
      </c>
      <c r="AP22" s="1">
        <v>81.143508991961198</v>
      </c>
      <c r="AQ22" s="1">
        <v>442.21899398855197</v>
      </c>
      <c r="AR22" s="1">
        <v>193.42391694986199</v>
      </c>
      <c r="AS22" s="1">
        <v>22.508601662125098</v>
      </c>
      <c r="AT22" s="1">
        <v>116.181898912669</v>
      </c>
      <c r="AU22" s="1">
        <v>92.285266814713196</v>
      </c>
      <c r="AV22" s="1">
        <v>55.071045399999598</v>
      </c>
      <c r="AW22" s="1">
        <v>79.868021564440795</v>
      </c>
      <c r="AX22" s="1">
        <v>411.30718103923402</v>
      </c>
      <c r="AY22" s="1">
        <v>182.43221647152399</v>
      </c>
      <c r="AZ22" s="1">
        <v>26.522635625204099</v>
      </c>
      <c r="BA22" s="1">
        <v>79.943050236647906</v>
      </c>
      <c r="BB22" s="1">
        <v>18.194453010217799</v>
      </c>
      <c r="BC22" s="1">
        <v>409.05632087302098</v>
      </c>
      <c r="BD22" s="1">
        <v>63.811885712124798</v>
      </c>
      <c r="BE22" s="1">
        <f t="shared" ref="BE22:BE33" si="2">AF22+AG22+AH22+AI22+AJ22+AK22+AL22+AM22+AN22+AO22+AP22+AQ22+AR22+AS22+AT22+AU22+AV22+AW22+AX22+AY22+AZ22+BA22+BB22+BC22+BD22</f>
        <v>36073.26412651084</v>
      </c>
    </row>
    <row r="23" spans="1:57" ht="15.6">
      <c r="A23" s="86" t="s">
        <v>11</v>
      </c>
      <c r="B23" s="87">
        <v>0.24876220922669601</v>
      </c>
      <c r="C23" s="27">
        <v>7.0294790445603592</v>
      </c>
      <c r="D23" s="27">
        <v>26.068201010148861</v>
      </c>
      <c r="E23" s="27">
        <v>217.4986694683916</v>
      </c>
      <c r="F23" s="27">
        <v>487.42223941606278</v>
      </c>
      <c r="G23" s="27">
        <v>2679.8002352283029</v>
      </c>
      <c r="H23" s="27">
        <v>191.54443569737683</v>
      </c>
      <c r="I23" s="27">
        <v>182.34075160517381</v>
      </c>
      <c r="J23" s="118">
        <v>168.27019516908373</v>
      </c>
      <c r="K23" s="118">
        <v>1818.228030380722</v>
      </c>
      <c r="L23" s="27">
        <v>570.46803019621689</v>
      </c>
      <c r="M23" s="27">
        <v>19.888647553706015</v>
      </c>
      <c r="N23" s="27">
        <v>87.82615407255966</v>
      </c>
      <c r="O23" s="27">
        <v>43.103622298139143</v>
      </c>
      <c r="P23" s="27">
        <v>5.3832211802738499</v>
      </c>
      <c r="Q23" s="27">
        <v>25.516236065674754</v>
      </c>
      <c r="R23" s="27">
        <v>20.755630781176585</v>
      </c>
      <c r="S23" s="27">
        <v>11.171246132646136</v>
      </c>
      <c r="T23" s="27">
        <v>17.816659722520612</v>
      </c>
      <c r="U23" s="27">
        <v>74.248833406173645</v>
      </c>
      <c r="V23" s="27">
        <v>32.545786591938231</v>
      </c>
      <c r="W23" s="27">
        <v>7.4972478622993277</v>
      </c>
      <c r="X23" s="27">
        <v>13.068448595303607</v>
      </c>
      <c r="Y23" s="27">
        <v>2.6355749608649033</v>
      </c>
      <c r="Z23" s="27">
        <v>58.844297925070592</v>
      </c>
      <c r="AA23" s="27">
        <v>8.7406952746021354</v>
      </c>
      <c r="AB23" s="27">
        <f t="shared" si="1"/>
        <v>6777.7125696389885</v>
      </c>
      <c r="AD23" s="1" t="s">
        <v>11</v>
      </c>
      <c r="AE23" s="9">
        <v>0.24876220922669601</v>
      </c>
      <c r="AF23" s="1">
        <v>28.259919496051701</v>
      </c>
      <c r="AG23" s="1">
        <v>104.79887642419099</v>
      </c>
      <c r="AH23" s="1">
        <v>874.32894600160103</v>
      </c>
      <c r="AI23" s="1">
        <v>1959.38121774758</v>
      </c>
      <c r="AJ23" s="1">
        <v>10772.536595379701</v>
      </c>
      <c r="AK23" s="1">
        <v>769.97225892940901</v>
      </c>
      <c r="AL23" s="1">
        <v>732.98914948934203</v>
      </c>
      <c r="AM23" s="1">
        <v>676.42989615034298</v>
      </c>
      <c r="AN23" s="1">
        <v>7309.1006761400804</v>
      </c>
      <c r="AO23" s="1">
        <v>2293.2341785081899</v>
      </c>
      <c r="AP23" s="1">
        <v>79.955874648146406</v>
      </c>
      <c r="AQ23" s="1">
        <v>353.06809805664602</v>
      </c>
      <c r="AR23" s="1">
        <v>173.257827920317</v>
      </c>
      <c r="AS23" s="1">
        <v>21.627079216039601</v>
      </c>
      <c r="AT23" s="1">
        <v>102.587929664187</v>
      </c>
      <c r="AU23" s="1">
        <v>83.453190432152795</v>
      </c>
      <c r="AV23" s="1">
        <v>44.902318744082201</v>
      </c>
      <c r="AW23" s="1">
        <v>71.634675024131099</v>
      </c>
      <c r="AX23" s="1">
        <v>298.47781260054597</v>
      </c>
      <c r="AY23" s="1">
        <v>130.84784916023901</v>
      </c>
      <c r="AZ23" s="1">
        <v>30.1492740000552</v>
      </c>
      <c r="BA23" s="1">
        <v>52.540134824096199</v>
      </c>
      <c r="BB23" s="1">
        <v>10.612544448019399</v>
      </c>
      <c r="BC23" s="1">
        <v>236.531104288433</v>
      </c>
      <c r="BD23" s="1">
        <v>35.133953968064297</v>
      </c>
      <c r="BE23" s="1">
        <f t="shared" si="2"/>
        <v>27245.811381261639</v>
      </c>
    </row>
    <row r="24" spans="1:57" ht="15.6">
      <c r="A24" s="86" t="s">
        <v>12</v>
      </c>
      <c r="B24" s="87">
        <v>0.24045908002074934</v>
      </c>
      <c r="C24" s="27">
        <v>6.8401697790656772</v>
      </c>
      <c r="D24" s="27">
        <v>38.350094194619871</v>
      </c>
      <c r="E24" s="27">
        <v>360.13604239811258</v>
      </c>
      <c r="F24" s="27">
        <v>799.98587569220672</v>
      </c>
      <c r="G24" s="27">
        <v>4254.4889493954533</v>
      </c>
      <c r="H24" s="27">
        <v>337.46587068035302</v>
      </c>
      <c r="I24" s="27">
        <v>245.75337027453111</v>
      </c>
      <c r="J24" s="118">
        <v>229.79271206166058</v>
      </c>
      <c r="K24" s="118">
        <v>2059.3415973997571</v>
      </c>
      <c r="L24" s="27">
        <v>756.64458397890257</v>
      </c>
      <c r="M24" s="27">
        <v>20.748000788849538</v>
      </c>
      <c r="N24" s="27">
        <v>117.41286776193482</v>
      </c>
      <c r="O24" s="27">
        <v>45.544224788567732</v>
      </c>
      <c r="P24" s="27">
        <v>3.9592907356959097</v>
      </c>
      <c r="Q24" s="27">
        <v>27.037097314298308</v>
      </c>
      <c r="R24" s="27">
        <v>19.562882225163207</v>
      </c>
      <c r="S24" s="27">
        <v>13.621782035265269</v>
      </c>
      <c r="T24" s="27">
        <v>19.536123240806376</v>
      </c>
      <c r="U24" s="27">
        <v>95.899311155560127</v>
      </c>
      <c r="V24" s="27">
        <v>40.252928285622687</v>
      </c>
      <c r="W24" s="27">
        <v>7.2857152000332466</v>
      </c>
      <c r="X24" s="27">
        <v>16.276563686988052</v>
      </c>
      <c r="Y24" s="27">
        <v>3.1834812666907339</v>
      </c>
      <c r="Z24" s="27">
        <v>84.914668778184421</v>
      </c>
      <c r="AA24" s="27">
        <v>17.496382130653096</v>
      </c>
      <c r="AB24" s="27">
        <f t="shared" si="1"/>
        <v>9621.5305852489801</v>
      </c>
      <c r="AD24" s="1" t="s">
        <v>12</v>
      </c>
      <c r="AE24" s="9">
        <v>0.24045908002074934</v>
      </c>
      <c r="AF24" s="1">
        <v>28.445588330455202</v>
      </c>
      <c r="AG24" s="1">
        <v>159.48659539078301</v>
      </c>
      <c r="AH24" s="1">
        <v>1497.7184475628801</v>
      </c>
      <c r="AI24" s="1">
        <v>3326.9278082574301</v>
      </c>
      <c r="AJ24" s="1">
        <v>17693.197528660501</v>
      </c>
      <c r="AK24" s="1">
        <v>1403.44045232145</v>
      </c>
      <c r="AL24" s="1">
        <v>1022.00341114172</v>
      </c>
      <c r="AM24" s="1">
        <v>955.64165054611306</v>
      </c>
      <c r="AN24" s="1">
        <v>8564.2080848017795</v>
      </c>
      <c r="AO24" s="1">
        <v>3146.64765414556</v>
      </c>
      <c r="AP24" s="1">
        <v>86.293268692535904</v>
      </c>
      <c r="AQ24" s="1">
        <v>488.274345888705</v>
      </c>
      <c r="AR24" s="1">
        <v>189.387732831715</v>
      </c>
      <c r="AS24" s="1">
        <v>16.4684985071056</v>
      </c>
      <c r="AT24" s="1">
        <v>112.45156556367</v>
      </c>
      <c r="AU24" s="1">
        <v>81.344401716915797</v>
      </c>
      <c r="AV24" s="1">
        <v>56.641653956257301</v>
      </c>
      <c r="AW24" s="1">
        <v>81.261227482031401</v>
      </c>
      <c r="AX24" s="1">
        <v>398.820456270563</v>
      </c>
      <c r="AY24" s="1">
        <v>167.388147704798</v>
      </c>
      <c r="AZ24" s="1">
        <v>30.3170086153536</v>
      </c>
      <c r="BA24" s="1">
        <v>67.703827195878802</v>
      </c>
      <c r="BB24" s="1">
        <v>13.224703346615099</v>
      </c>
      <c r="BC24" s="1">
        <v>353.116214201601</v>
      </c>
      <c r="BD24" s="1">
        <v>72.777455523825495</v>
      </c>
      <c r="BE24" s="1">
        <f t="shared" si="2"/>
        <v>40013.187728656259</v>
      </c>
    </row>
    <row r="25" spans="1:57" ht="15.6">
      <c r="A25" s="86" t="s">
        <v>13</v>
      </c>
      <c r="B25" s="87">
        <v>0.22939153077564695</v>
      </c>
      <c r="C25" s="27">
        <v>6.8007840888815103</v>
      </c>
      <c r="D25" s="27">
        <v>5.7687207236441127</v>
      </c>
      <c r="E25" s="27">
        <v>34.548414640551982</v>
      </c>
      <c r="F25" s="27">
        <v>84.051374456934269</v>
      </c>
      <c r="G25" s="27">
        <v>472.20305990743458</v>
      </c>
      <c r="H25" s="27">
        <v>30.615260795788913</v>
      </c>
      <c r="I25" s="27">
        <v>34.048851504007537</v>
      </c>
      <c r="J25" s="118">
        <v>42.210058129608214</v>
      </c>
      <c r="K25" s="118">
        <v>332.92884624332714</v>
      </c>
      <c r="L25" s="27">
        <v>116.70262388617766</v>
      </c>
      <c r="M25" s="27">
        <v>3.63252191488258</v>
      </c>
      <c r="N25" s="27">
        <v>17.709357472374254</v>
      </c>
      <c r="O25" s="27">
        <v>7.9179444767292217</v>
      </c>
      <c r="P25" s="27">
        <v>1.0116241873100908</v>
      </c>
      <c r="Q25" s="27">
        <v>4.4878156419363266</v>
      </c>
      <c r="R25" s="27">
        <v>3.9879153669799834</v>
      </c>
      <c r="S25" s="27">
        <v>2.3146013993912087</v>
      </c>
      <c r="T25" s="27">
        <v>7.8313288762798088</v>
      </c>
      <c r="U25" s="27">
        <v>19.162965509391867</v>
      </c>
      <c r="V25" s="27">
        <v>8.335543326180602</v>
      </c>
      <c r="W25" s="27">
        <v>2.8244492410334736</v>
      </c>
      <c r="X25" s="27">
        <v>3.8245933436234125</v>
      </c>
      <c r="Y25" s="27">
        <v>1.0137557827451023</v>
      </c>
      <c r="Z25" s="27">
        <v>18.466563144010415</v>
      </c>
      <c r="AA25" s="27">
        <v>3.2396850423294761</v>
      </c>
      <c r="AB25" s="27">
        <f t="shared" si="1"/>
        <v>1265.6386591015539</v>
      </c>
      <c r="AD25" s="1" t="s">
        <v>13</v>
      </c>
      <c r="AE25" s="9">
        <v>0.22939153077564695</v>
      </c>
      <c r="AF25" s="1">
        <v>29.643640156880899</v>
      </c>
      <c r="AG25" s="1">
        <v>25.1535005448828</v>
      </c>
      <c r="AH25" s="1">
        <v>150.615848150034</v>
      </c>
      <c r="AI25" s="1">
        <v>366.40411105674099</v>
      </c>
      <c r="AJ25" s="1">
        <v>2058.48924736458</v>
      </c>
      <c r="AK25" s="1">
        <v>133.48356788289601</v>
      </c>
      <c r="AL25" s="1">
        <v>148.436168726734</v>
      </c>
      <c r="AM25" s="1">
        <v>184.00879032452099</v>
      </c>
      <c r="AN25" s="1">
        <v>1451.35631097034</v>
      </c>
      <c r="AO25" s="1">
        <v>508.73717739823599</v>
      </c>
      <c r="AP25" s="1">
        <v>15.8244726131585</v>
      </c>
      <c r="AQ25" s="1">
        <v>77.204245173288399</v>
      </c>
      <c r="AR25" s="1">
        <v>34.526122065072997</v>
      </c>
      <c r="AS25" s="1">
        <v>4.4029524350661404</v>
      </c>
      <c r="AT25" s="1">
        <v>19.5735212212346</v>
      </c>
      <c r="AU25" s="1">
        <v>17.393841797934499</v>
      </c>
      <c r="AV25" s="1">
        <v>10.070118935646301</v>
      </c>
      <c r="AW25" s="1">
        <v>34.133779768879002</v>
      </c>
      <c r="AX25" s="1">
        <v>83.525315500858596</v>
      </c>
      <c r="AY25" s="1">
        <v>36.357052780645098</v>
      </c>
      <c r="AZ25" s="1">
        <v>12.293391947412299</v>
      </c>
      <c r="BA25" s="1">
        <v>16.652750794012501</v>
      </c>
      <c r="BB25" s="1">
        <v>4.4029524350661404</v>
      </c>
      <c r="BC25" s="1">
        <v>80.517357896704496</v>
      </c>
      <c r="BD25" s="1">
        <v>14.124322662984399</v>
      </c>
      <c r="BE25" s="1">
        <f t="shared" si="2"/>
        <v>5517.3305606038102</v>
      </c>
    </row>
    <row r="26" spans="1:57" ht="15.6">
      <c r="A26" s="86" t="s">
        <v>14</v>
      </c>
      <c r="B26" s="87">
        <v>0.20534708516324557</v>
      </c>
      <c r="C26" s="27">
        <v>7.2121880423480622</v>
      </c>
      <c r="D26" s="27">
        <v>35.070858721859651</v>
      </c>
      <c r="E26" s="27">
        <v>296.02108946027363</v>
      </c>
      <c r="F26" s="27">
        <v>605.16857125943432</v>
      </c>
      <c r="G26" s="27">
        <v>3105.2482298717368</v>
      </c>
      <c r="H26" s="27">
        <v>230.32223530107416</v>
      </c>
      <c r="I26" s="27">
        <v>212.76368179739524</v>
      </c>
      <c r="J26" s="118">
        <v>224.01067124655339</v>
      </c>
      <c r="K26" s="118">
        <v>2210.3261113994249</v>
      </c>
      <c r="L26" s="27">
        <v>694.45047827852704</v>
      </c>
      <c r="M26" s="27">
        <v>21.524201946899286</v>
      </c>
      <c r="N26" s="27">
        <v>136.340828972525</v>
      </c>
      <c r="O26" s="27">
        <v>45.237696846072666</v>
      </c>
      <c r="P26" s="27">
        <v>4.3043513054165485</v>
      </c>
      <c r="Q26" s="27">
        <v>27.615087225227953</v>
      </c>
      <c r="R26" s="27">
        <v>22.277652921472914</v>
      </c>
      <c r="S26" s="27">
        <v>13.826597210001939</v>
      </c>
      <c r="T26" s="27">
        <v>19.708088110155792</v>
      </c>
      <c r="U26" s="27">
        <v>76.149072893128945</v>
      </c>
      <c r="V26" s="27">
        <v>39.431979232595978</v>
      </c>
      <c r="W26" s="27">
        <v>6.0653207001249108</v>
      </c>
      <c r="X26" s="27">
        <v>15.889336862442565</v>
      </c>
      <c r="Y26" s="27">
        <v>3.6278430644584483</v>
      </c>
      <c r="Z26" s="27">
        <v>74.538014890976683</v>
      </c>
      <c r="AA26" s="27">
        <v>11.128121345937888</v>
      </c>
      <c r="AB26" s="27">
        <f t="shared" si="1"/>
        <v>8138.2583089060636</v>
      </c>
      <c r="AD26" s="1" t="s">
        <v>14</v>
      </c>
      <c r="AE26" s="9">
        <v>0.20534708516324557</v>
      </c>
      <c r="AF26" s="1">
        <v>35.111284876529901</v>
      </c>
      <c r="AG26" s="1">
        <v>170.78401672952799</v>
      </c>
      <c r="AH26" s="1">
        <v>1441.5592994660699</v>
      </c>
      <c r="AI26" s="1">
        <v>2947.0591218764998</v>
      </c>
      <c r="AJ26" s="1">
        <v>15121.9580253598</v>
      </c>
      <c r="AK26" s="1">
        <v>1121.61319455788</v>
      </c>
      <c r="AL26" s="1">
        <v>1036.0994410999299</v>
      </c>
      <c r="AM26" s="1">
        <v>1090.88800164852</v>
      </c>
      <c r="AN26" s="1">
        <v>10763.854334723001</v>
      </c>
      <c r="AO26" s="1">
        <v>3381.8351986832399</v>
      </c>
      <c r="AP26" s="1">
        <v>104.798176219545</v>
      </c>
      <c r="AQ26" s="1">
        <v>663.94904023107995</v>
      </c>
      <c r="AR26" s="1">
        <v>220.309920639974</v>
      </c>
      <c r="AS26" s="1">
        <v>20.940156028998398</v>
      </c>
      <c r="AT26" s="1">
        <v>134.50397895835701</v>
      </c>
      <c r="AU26" s="1">
        <v>108.499227052577</v>
      </c>
      <c r="AV26" s="1">
        <v>67.349385553732105</v>
      </c>
      <c r="AW26" s="1">
        <v>95.983831472455506</v>
      </c>
      <c r="AX26" s="1">
        <v>370.83555386237799</v>
      </c>
      <c r="AY26" s="1">
        <v>192.016360982187</v>
      </c>
      <c r="AZ26" s="1">
        <v>29.559708626981401</v>
      </c>
      <c r="BA26" s="1">
        <v>77.381181232740602</v>
      </c>
      <c r="BB26" s="1">
        <v>17.677387531456802</v>
      </c>
      <c r="BC26" s="1">
        <v>362.99516986082301</v>
      </c>
      <c r="BD26" s="1">
        <v>54.200915489012097</v>
      </c>
      <c r="BE26" s="1">
        <f t="shared" si="2"/>
        <v>39631.761912763286</v>
      </c>
    </row>
    <row r="27" spans="1:57" ht="15.6">
      <c r="A27" s="86" t="s">
        <v>15</v>
      </c>
      <c r="B27" s="87">
        <v>0.19496614247882196</v>
      </c>
      <c r="C27" s="27">
        <v>7.2137690750315802</v>
      </c>
      <c r="D27" s="27">
        <v>57.099710247892929</v>
      </c>
      <c r="E27" s="27">
        <v>344.91762253495597</v>
      </c>
      <c r="F27" s="27">
        <v>637.51340941233479</v>
      </c>
      <c r="G27" s="27">
        <v>3148.7680532252798</v>
      </c>
      <c r="H27" s="27">
        <v>230.14880561582089</v>
      </c>
      <c r="I27" s="27">
        <v>226.84557424488133</v>
      </c>
      <c r="J27" s="118">
        <v>236.82537504314078</v>
      </c>
      <c r="K27" s="118">
        <v>2377.580420672843</v>
      </c>
      <c r="L27" s="27">
        <v>696.00427898632256</v>
      </c>
      <c r="M27" s="27">
        <v>22.409136684703903</v>
      </c>
      <c r="N27" s="27">
        <v>129.0959404056872</v>
      </c>
      <c r="O27" s="27">
        <v>50.631684071881971</v>
      </c>
      <c r="P27" s="27">
        <v>3.9743025142530315</v>
      </c>
      <c r="Q27" s="27">
        <v>28.885938561874113</v>
      </c>
      <c r="R27" s="27">
        <v>23.777985436657644</v>
      </c>
      <c r="S27" s="27">
        <v>14.638960155151041</v>
      </c>
      <c r="T27" s="27">
        <v>19.459077715632702</v>
      </c>
      <c r="U27" s="27">
        <v>74.194901004327875</v>
      </c>
      <c r="V27" s="27">
        <v>37.099351136432858</v>
      </c>
      <c r="W27" s="27">
        <v>5.2855499978160472</v>
      </c>
      <c r="X27" s="27">
        <v>15.916331485799981</v>
      </c>
      <c r="Y27" s="27">
        <v>3.6713494473663841</v>
      </c>
      <c r="Z27" s="27">
        <v>71.236487406603743</v>
      </c>
      <c r="AA27" s="27">
        <v>10.703214323407476</v>
      </c>
      <c r="AB27" s="27">
        <f t="shared" si="1"/>
        <v>8473.8972294061005</v>
      </c>
      <c r="AD27" s="1" t="s">
        <v>15</v>
      </c>
      <c r="AE27" s="9">
        <v>0.19496614247882196</v>
      </c>
      <c r="AF27" s="1">
        <v>36.980779975632899</v>
      </c>
      <c r="AG27" s="1">
        <v>292.87136430078198</v>
      </c>
      <c r="AH27" s="1">
        <v>1769.12768782181</v>
      </c>
      <c r="AI27" s="1">
        <v>3269.8497978177102</v>
      </c>
      <c r="AJ27" s="1">
        <v>16150.342657957501</v>
      </c>
      <c r="AK27" s="1">
        <v>1180.4613746729401</v>
      </c>
      <c r="AL27" s="1">
        <v>1163.5353588727201</v>
      </c>
      <c r="AM27" s="1">
        <v>1214.7000118615399</v>
      </c>
      <c r="AN27" s="1">
        <v>12194.8375067092</v>
      </c>
      <c r="AO27" s="1">
        <v>3569.8506051373702</v>
      </c>
      <c r="AP27" s="1">
        <v>114.943034570587</v>
      </c>
      <c r="AQ27" s="1">
        <v>662.16625448740695</v>
      </c>
      <c r="AR27" s="1">
        <v>259.68611514095602</v>
      </c>
      <c r="AS27" s="1">
        <v>20.3625099172347</v>
      </c>
      <c r="AT27" s="1">
        <v>148.179574687383</v>
      </c>
      <c r="AU27" s="1">
        <v>121.969895675527</v>
      </c>
      <c r="AV27" s="1">
        <v>75.089961004613798</v>
      </c>
      <c r="AW27" s="1">
        <v>99.8122022643295</v>
      </c>
      <c r="AX27" s="1">
        <v>380.52760976313499</v>
      </c>
      <c r="AY27" s="1">
        <v>190.289450360052</v>
      </c>
      <c r="AZ27" s="1">
        <v>27.132916237322799</v>
      </c>
      <c r="BA27" s="1">
        <v>81.655203496820405</v>
      </c>
      <c r="BB27" s="1">
        <v>18.823781208123801</v>
      </c>
      <c r="BC27" s="1">
        <v>365.39677745687698</v>
      </c>
      <c r="BD27" s="1">
        <v>54.881323958290103</v>
      </c>
      <c r="BE27" s="1">
        <f t="shared" si="2"/>
        <v>43463.473755355844</v>
      </c>
    </row>
    <row r="28" spans="1:57" ht="15.6">
      <c r="A28" s="86" t="s">
        <v>16</v>
      </c>
      <c r="B28" s="87">
        <v>0.16855272679079111</v>
      </c>
      <c r="C28" s="27">
        <v>7.5328404920261205</v>
      </c>
      <c r="D28" s="27">
        <v>63.177812472116052</v>
      </c>
      <c r="E28" s="27">
        <v>360.6860993734515</v>
      </c>
      <c r="F28" s="27">
        <v>610.8021180543268</v>
      </c>
      <c r="G28" s="27">
        <v>2844.4271300109049</v>
      </c>
      <c r="H28" s="27">
        <v>204.35448804349892</v>
      </c>
      <c r="I28" s="27">
        <v>216.80517996017659</v>
      </c>
      <c r="J28" s="118">
        <v>230.02395303358787</v>
      </c>
      <c r="K28" s="118">
        <v>2407.5217542176415</v>
      </c>
      <c r="L28" s="27">
        <v>649.74616022772364</v>
      </c>
      <c r="M28" s="27">
        <v>22.988571740396566</v>
      </c>
      <c r="N28" s="27">
        <v>123.79122658518608</v>
      </c>
      <c r="O28" s="27">
        <v>49.81927190007108</v>
      </c>
      <c r="P28" s="27">
        <v>4.3119503816073488</v>
      </c>
      <c r="Q28" s="27">
        <v>28.395287180425576</v>
      </c>
      <c r="R28" s="27">
        <v>23.637251963909989</v>
      </c>
      <c r="S28" s="27">
        <v>13.948518656747773</v>
      </c>
      <c r="T28" s="27">
        <v>19.879046272026791</v>
      </c>
      <c r="U28" s="27">
        <v>65.278365981942542</v>
      </c>
      <c r="V28" s="27">
        <v>35.565060557576672</v>
      </c>
      <c r="W28" s="27">
        <v>7.0988872941522114</v>
      </c>
      <c r="X28" s="27">
        <v>15.508432920869993</v>
      </c>
      <c r="Y28" s="27">
        <v>2.9737990682661577</v>
      </c>
      <c r="Z28" s="27">
        <v>57.369007381137095</v>
      </c>
      <c r="AA28" s="27">
        <v>8.338818778616961</v>
      </c>
      <c r="AB28" s="27">
        <f t="shared" si="1"/>
        <v>8073.9810325483868</v>
      </c>
      <c r="AD28" s="1" t="s">
        <v>16</v>
      </c>
      <c r="AE28" s="9">
        <v>0.16855272679079111</v>
      </c>
      <c r="AF28" s="1">
        <v>44.674447776807497</v>
      </c>
      <c r="AG28" s="1">
        <v>374.83819529066398</v>
      </c>
      <c r="AH28" s="1">
        <v>2139.9238470938499</v>
      </c>
      <c r="AI28" s="1">
        <v>3623.7918595051801</v>
      </c>
      <c r="AJ28" s="1">
        <v>16875.6094939953</v>
      </c>
      <c r="AK28" s="1">
        <v>1212.38026602797</v>
      </c>
      <c r="AL28" s="1">
        <v>1286.3037214461599</v>
      </c>
      <c r="AM28" s="1">
        <v>1364.7002756591401</v>
      </c>
      <c r="AN28" s="1">
        <v>14283.4933427093</v>
      </c>
      <c r="AO28" s="1">
        <v>3854.8768184569299</v>
      </c>
      <c r="AP28" s="1">
        <v>136.39648796664</v>
      </c>
      <c r="AQ28" s="1">
        <v>734.42893629362595</v>
      </c>
      <c r="AR28" s="1">
        <v>295.57516444097598</v>
      </c>
      <c r="AS28" s="1">
        <v>25.570633455250999</v>
      </c>
      <c r="AT28" s="1">
        <v>168.49326917149099</v>
      </c>
      <c r="AU28" s="1">
        <v>140.25284800049499</v>
      </c>
      <c r="AV28" s="1">
        <v>82.763419188109594</v>
      </c>
      <c r="AW28" s="1">
        <v>117.94528842004399</v>
      </c>
      <c r="AX28" s="1">
        <v>387.29720463080901</v>
      </c>
      <c r="AY28" s="1">
        <v>211.03188677570299</v>
      </c>
      <c r="AZ28" s="1">
        <v>42.123317292872898</v>
      </c>
      <c r="BA28" s="1">
        <v>92.018683269360494</v>
      </c>
      <c r="BB28" s="1">
        <v>17.620598923920099</v>
      </c>
      <c r="BC28" s="1">
        <v>340.36826944959398</v>
      </c>
      <c r="BD28" s="1">
        <v>49.480065665149397</v>
      </c>
      <c r="BE28" s="1">
        <f t="shared" si="2"/>
        <v>47901.958340905323</v>
      </c>
    </row>
    <row r="29" spans="1:57" ht="15.6">
      <c r="A29" s="86" t="s">
        <v>17</v>
      </c>
      <c r="B29" s="87">
        <v>0.15019812620948753</v>
      </c>
      <c r="C29" s="27">
        <v>6.0564186087613683</v>
      </c>
      <c r="D29" s="27">
        <v>27.931804685703177</v>
      </c>
      <c r="E29" s="27">
        <v>355.46124203389797</v>
      </c>
      <c r="F29" s="27">
        <v>615.68384206912901</v>
      </c>
      <c r="G29" s="27">
        <v>2671.7973709182165</v>
      </c>
      <c r="H29" s="27">
        <v>181.28639901639892</v>
      </c>
      <c r="I29" s="27">
        <v>222.25684911085767</v>
      </c>
      <c r="J29" s="118">
        <v>242.61268763958526</v>
      </c>
      <c r="K29" s="118">
        <v>2824.584126939003</v>
      </c>
      <c r="L29" s="27">
        <v>663.25736010171545</v>
      </c>
      <c r="M29" s="27">
        <v>22.149901001912241</v>
      </c>
      <c r="N29" s="27">
        <v>124.59063623377887</v>
      </c>
      <c r="O29" s="27">
        <v>51.443538212776247</v>
      </c>
      <c r="P29" s="27">
        <v>3.9128950785631966</v>
      </c>
      <c r="Q29" s="27">
        <v>29.244984809869887</v>
      </c>
      <c r="R29" s="27">
        <v>23.794132331367841</v>
      </c>
      <c r="S29" s="27">
        <v>14.295275079045819</v>
      </c>
      <c r="T29" s="27">
        <v>18.784665941712966</v>
      </c>
      <c r="U29" s="27">
        <v>54.751949811313565</v>
      </c>
      <c r="V29" s="27">
        <v>26.40424121167473</v>
      </c>
      <c r="W29" s="27">
        <v>3.9816162618494677</v>
      </c>
      <c r="X29" s="27">
        <v>12.579127672293708</v>
      </c>
      <c r="Y29" s="27">
        <v>3.0373768463379291</v>
      </c>
      <c r="Z29" s="27">
        <v>44.699193368651322</v>
      </c>
      <c r="AA29" s="27">
        <v>6.3241173931825934</v>
      </c>
      <c r="AB29" s="27">
        <f t="shared" si="1"/>
        <v>8250.9217523775988</v>
      </c>
      <c r="AD29" s="1" t="s">
        <v>17</v>
      </c>
      <c r="AE29" s="9">
        <v>0.15019812620948753</v>
      </c>
      <c r="AF29" s="1">
        <v>40.346708453606098</v>
      </c>
      <c r="AG29" s="1">
        <v>185.95438401142201</v>
      </c>
      <c r="AH29" s="1">
        <v>2366.6074235839601</v>
      </c>
      <c r="AI29" s="1">
        <v>4099.11905292347</v>
      </c>
      <c r="AJ29" s="1">
        <v>17788.5042320701</v>
      </c>
      <c r="AK29" s="1">
        <v>1207.0057385402999</v>
      </c>
      <c r="AL29" s="1">
        <v>1479.77878232648</v>
      </c>
      <c r="AM29" s="1">
        <v>1615.2843851061</v>
      </c>
      <c r="AN29" s="1">
        <v>18805.721497483901</v>
      </c>
      <c r="AO29" s="1">
        <v>4415.9006351384096</v>
      </c>
      <c r="AP29" s="1">
        <v>147.47187990880701</v>
      </c>
      <c r="AQ29" s="1">
        <v>829.50435746448602</v>
      </c>
      <c r="AR29" s="1">
        <v>342.48097076790401</v>
      </c>
      <c r="AS29" s="1">
        <v>26.032282187062702</v>
      </c>
      <c r="AT29" s="1">
        <v>194.67619722499001</v>
      </c>
      <c r="AU29" s="1">
        <v>158.39079110747301</v>
      </c>
      <c r="AV29" s="1">
        <v>95.207579354219106</v>
      </c>
      <c r="AW29" s="1">
        <v>125.034848970086</v>
      </c>
      <c r="AX29" s="1">
        <v>364.51852934569899</v>
      </c>
      <c r="AY29" s="1">
        <v>175.76783880778899</v>
      </c>
      <c r="AZ29" s="1">
        <v>26.498333274810602</v>
      </c>
      <c r="BA29" s="1">
        <v>83.756038340984304</v>
      </c>
      <c r="BB29" s="1">
        <v>20.239932953624201</v>
      </c>
      <c r="BC29" s="1">
        <v>297.606908890461</v>
      </c>
      <c r="BD29" s="1">
        <v>42.077755350955499</v>
      </c>
      <c r="BE29" s="1">
        <f t="shared" si="2"/>
        <v>54933.487083587104</v>
      </c>
    </row>
    <row r="30" spans="1:57" ht="15.6">
      <c r="A30" s="86" t="s">
        <v>18</v>
      </c>
      <c r="B30" s="79">
        <v>0.22087830294008207</v>
      </c>
      <c r="C30" s="120">
        <v>25.202281974654813</v>
      </c>
      <c r="D30" s="120">
        <v>47.11797447451157</v>
      </c>
      <c r="E30" s="120">
        <v>168.60007963082342</v>
      </c>
      <c r="F30" s="120">
        <v>301.88909463223024</v>
      </c>
      <c r="G30" s="120">
        <v>1518.3637757361307</v>
      </c>
      <c r="H30" s="120">
        <v>112.03573218398428</v>
      </c>
      <c r="I30" s="120">
        <v>105.25369234575004</v>
      </c>
      <c r="J30" s="121">
        <v>107.46583299609546</v>
      </c>
      <c r="K30" s="121">
        <v>1094.6010364788126</v>
      </c>
      <c r="L30" s="120">
        <v>335.49485496128591</v>
      </c>
      <c r="M30" s="120">
        <v>10.073430800289845</v>
      </c>
      <c r="N30" s="120">
        <v>66.507128498004931</v>
      </c>
      <c r="O30" s="120">
        <v>21.776191137922631</v>
      </c>
      <c r="P30" s="120">
        <v>2.248257652711132</v>
      </c>
      <c r="Q30" s="120">
        <v>13.64775618898207</v>
      </c>
      <c r="R30" s="120">
        <v>11.420834076517519</v>
      </c>
      <c r="S30" s="120">
        <v>5.8386948851530214</v>
      </c>
      <c r="T30" s="120">
        <v>8.9803322187653265</v>
      </c>
      <c r="U30" s="120">
        <v>34.72123897093158</v>
      </c>
      <c r="V30" s="120">
        <v>20.064708793593901</v>
      </c>
      <c r="W30" s="120">
        <v>2.60106567514684</v>
      </c>
      <c r="X30" s="120">
        <v>7.7139670871364183</v>
      </c>
      <c r="Y30" s="120">
        <v>1.9916566779262423</v>
      </c>
      <c r="Z30" s="120">
        <v>34.20445773164731</v>
      </c>
      <c r="AA30" s="120">
        <v>5.3257989716676111</v>
      </c>
      <c r="AB30" s="27">
        <f t="shared" si="1"/>
        <v>4063.1398747806757</v>
      </c>
      <c r="AD30" s="1" t="s">
        <v>18</v>
      </c>
      <c r="AE30" s="9">
        <v>0.22087830294008207</v>
      </c>
      <c r="AF30" s="117">
        <v>25.202281974654813</v>
      </c>
      <c r="AG30" s="117">
        <v>47.11797447451157</v>
      </c>
      <c r="AH30" s="117">
        <v>168.60007963082342</v>
      </c>
      <c r="AI30" s="117">
        <v>301.88909463223024</v>
      </c>
      <c r="AJ30" s="117">
        <v>1518.3637757361307</v>
      </c>
      <c r="AK30" s="117">
        <v>112.03573218398428</v>
      </c>
      <c r="AL30" s="117">
        <v>105.25369234575004</v>
      </c>
      <c r="AM30" s="18">
        <v>107.46583299609546</v>
      </c>
      <c r="AN30" s="18">
        <v>1094.6010364788126</v>
      </c>
      <c r="AO30" s="117">
        <v>335.49485496128591</v>
      </c>
      <c r="AP30" s="117">
        <v>10.073430800289845</v>
      </c>
      <c r="AQ30" s="117">
        <v>66.507128498004931</v>
      </c>
      <c r="AR30" s="117">
        <v>21.776191137922631</v>
      </c>
      <c r="AS30" s="117">
        <v>2.248257652711132</v>
      </c>
      <c r="AT30" s="117">
        <v>13.64775618898207</v>
      </c>
      <c r="AU30" s="117">
        <v>11.420834076517519</v>
      </c>
      <c r="AV30" s="117">
        <v>5.8386948851530214</v>
      </c>
      <c r="AW30" s="117">
        <v>8.9803322187653265</v>
      </c>
      <c r="AX30" s="117">
        <v>34.72123897093158</v>
      </c>
      <c r="AY30" s="117">
        <v>20.064708793593901</v>
      </c>
      <c r="AZ30" s="117">
        <v>2.60106567514684</v>
      </c>
      <c r="BA30" s="117">
        <v>7.7139670871364183</v>
      </c>
      <c r="BB30" s="117">
        <v>1.9916566779262423</v>
      </c>
      <c r="BC30" s="117">
        <v>34.20445773164731</v>
      </c>
      <c r="BD30" s="117">
        <v>5.3257989716676111</v>
      </c>
      <c r="BE30" s="1">
        <f t="shared" si="2"/>
        <v>4063.1398747806757</v>
      </c>
    </row>
    <row r="31" spans="1:57" ht="15.6">
      <c r="A31" s="86" t="s">
        <v>19</v>
      </c>
      <c r="B31" s="79">
        <v>0.22210840007450242</v>
      </c>
      <c r="C31" s="120">
        <v>42.108994573716899</v>
      </c>
      <c r="D31" s="120">
        <v>45.235844452062139</v>
      </c>
      <c r="E31" s="120">
        <v>161.08002301940508</v>
      </c>
      <c r="F31" s="120">
        <v>278.72576989902694</v>
      </c>
      <c r="G31" s="120">
        <v>1370.1051171044228</v>
      </c>
      <c r="H31" s="120">
        <v>99.672829103246016</v>
      </c>
      <c r="I31" s="120">
        <v>99.215979520948338</v>
      </c>
      <c r="J31" s="121">
        <v>100.82655105145257</v>
      </c>
      <c r="K31" s="121">
        <v>1039.6304623044045</v>
      </c>
      <c r="L31" s="120">
        <v>299.60233999451555</v>
      </c>
      <c r="M31" s="120">
        <v>9.7962349314542863</v>
      </c>
      <c r="N31" s="120">
        <v>53.536069516160154</v>
      </c>
      <c r="O31" s="120">
        <v>22.132134897464802</v>
      </c>
      <c r="P31" s="120">
        <v>1.5979979970394211</v>
      </c>
      <c r="Q31" s="120">
        <v>12.771412589743463</v>
      </c>
      <c r="R31" s="120">
        <v>10.683513787066287</v>
      </c>
      <c r="S31" s="120">
        <v>5.9909941678075374</v>
      </c>
      <c r="T31" s="120">
        <v>8.3154580479101554</v>
      </c>
      <c r="U31" s="120">
        <v>31.01767609742749</v>
      </c>
      <c r="V31" s="120">
        <v>15.628918707925191</v>
      </c>
      <c r="W31" s="120">
        <v>2.2542917947685086</v>
      </c>
      <c r="X31" s="120">
        <v>6.8481878607287605</v>
      </c>
      <c r="Y31" s="120">
        <v>1.6125299119450056</v>
      </c>
      <c r="Z31" s="120">
        <v>29.249979247658679</v>
      </c>
      <c r="AA31" s="120">
        <v>4.4205458842390071</v>
      </c>
      <c r="AB31" s="27">
        <f t="shared" si="1"/>
        <v>3752.0598564625379</v>
      </c>
      <c r="AD31" s="1" t="s">
        <v>19</v>
      </c>
      <c r="AE31" s="9">
        <v>0.22210840007450242</v>
      </c>
      <c r="AF31" s="117">
        <v>42.108994573716899</v>
      </c>
      <c r="AG31" s="117">
        <v>45.235844452062139</v>
      </c>
      <c r="AH31" s="117">
        <v>161.08002301940508</v>
      </c>
      <c r="AI31" s="117">
        <v>278.72576989902694</v>
      </c>
      <c r="AJ31" s="117">
        <v>1370.1051171044228</v>
      </c>
      <c r="AK31" s="117">
        <v>99.672829103246016</v>
      </c>
      <c r="AL31" s="117">
        <v>99.215979520948338</v>
      </c>
      <c r="AM31" s="18">
        <v>100.82655105145257</v>
      </c>
      <c r="AN31" s="18">
        <v>1039.6304623044045</v>
      </c>
      <c r="AO31" s="117">
        <v>299.60233999451555</v>
      </c>
      <c r="AP31" s="117">
        <v>9.7962349314542863</v>
      </c>
      <c r="AQ31" s="117">
        <v>53.536069516160154</v>
      </c>
      <c r="AR31" s="117">
        <v>22.132134897464802</v>
      </c>
      <c r="AS31" s="117">
        <v>1.5979979970394211</v>
      </c>
      <c r="AT31" s="117">
        <v>12.771412589743463</v>
      </c>
      <c r="AU31" s="117">
        <v>10.683513787066287</v>
      </c>
      <c r="AV31" s="117">
        <v>5.9909941678075374</v>
      </c>
      <c r="AW31" s="117">
        <v>8.3154580479101554</v>
      </c>
      <c r="AX31" s="117">
        <v>31.01767609742749</v>
      </c>
      <c r="AY31" s="117">
        <v>15.628918707925191</v>
      </c>
      <c r="AZ31" s="117">
        <v>2.2542917947685086</v>
      </c>
      <c r="BA31" s="117">
        <v>6.8481878607287605</v>
      </c>
      <c r="BB31" s="117">
        <v>1.6125299119450056</v>
      </c>
      <c r="BC31" s="117">
        <v>29.249979247658679</v>
      </c>
      <c r="BD31" s="117">
        <v>4.4205458842390071</v>
      </c>
      <c r="BE31" s="1">
        <f t="shared" si="2"/>
        <v>3752.0598564625379</v>
      </c>
    </row>
    <row r="32" spans="1:57" ht="15.6">
      <c r="A32" s="86" t="s">
        <v>20</v>
      </c>
      <c r="B32" s="79">
        <v>0.21865101546487486</v>
      </c>
      <c r="C32" s="120">
        <v>32.504375901215845</v>
      </c>
      <c r="D32" s="120">
        <v>59.743911463531418</v>
      </c>
      <c r="E32" s="120">
        <v>214.30853121573821</v>
      </c>
      <c r="F32" s="120">
        <v>336.5588042557132</v>
      </c>
      <c r="G32" s="120">
        <v>1549.0477073863137</v>
      </c>
      <c r="H32" s="120">
        <v>111.06913357038115</v>
      </c>
      <c r="I32" s="120">
        <v>118.79799820283749</v>
      </c>
      <c r="J32" s="121">
        <v>123.99393009408023</v>
      </c>
      <c r="K32" s="121">
        <v>1342.4363663544073</v>
      </c>
      <c r="L32" s="120">
        <v>352.402504999634</v>
      </c>
      <c r="M32" s="120">
        <v>10.175292612268574</v>
      </c>
      <c r="N32" s="120">
        <v>64.814404016991389</v>
      </c>
      <c r="O32" s="120">
        <v>23.936327889232675</v>
      </c>
      <c r="P32" s="120">
        <v>1.5783880273535853</v>
      </c>
      <c r="Q32" s="120">
        <v>14.544958741442427</v>
      </c>
      <c r="R32" s="120">
        <v>12.076311653527407</v>
      </c>
      <c r="S32" s="120">
        <v>6.2946437506737976</v>
      </c>
      <c r="T32" s="120">
        <v>9.1687372230717994</v>
      </c>
      <c r="U32" s="120">
        <v>31.738779087762033</v>
      </c>
      <c r="V32" s="120">
        <v>17.427621027586959</v>
      </c>
      <c r="W32" s="120">
        <v>2.5743064501038795</v>
      </c>
      <c r="X32" s="120">
        <v>7.695574914871159</v>
      </c>
      <c r="Y32" s="120">
        <v>1.7730055678894894</v>
      </c>
      <c r="Z32" s="120">
        <v>30.555719356282246</v>
      </c>
      <c r="AA32" s="120">
        <v>4.6456641512987922</v>
      </c>
      <c r="AB32" s="27">
        <f t="shared" si="1"/>
        <v>4479.8629979142079</v>
      </c>
      <c r="AD32" s="1" t="s">
        <v>20</v>
      </c>
      <c r="AE32" s="9">
        <v>0.21865101546487486</v>
      </c>
      <c r="AF32" s="117">
        <v>32.504375901215845</v>
      </c>
      <c r="AG32" s="117">
        <v>59.743911463531418</v>
      </c>
      <c r="AH32" s="117">
        <v>214.30853121573821</v>
      </c>
      <c r="AI32" s="117">
        <v>336.5588042557132</v>
      </c>
      <c r="AJ32" s="117">
        <v>1549.0477073863137</v>
      </c>
      <c r="AK32" s="117">
        <v>111.06913357038115</v>
      </c>
      <c r="AL32" s="117">
        <v>118.79799820283749</v>
      </c>
      <c r="AM32" s="18">
        <v>123.99393009408023</v>
      </c>
      <c r="AN32" s="18">
        <v>1342.4363663544073</v>
      </c>
      <c r="AO32" s="117">
        <v>352.402504999634</v>
      </c>
      <c r="AP32" s="117">
        <v>10.175292612268574</v>
      </c>
      <c r="AQ32" s="117">
        <v>64.814404016991389</v>
      </c>
      <c r="AR32" s="117">
        <v>23.936327889232675</v>
      </c>
      <c r="AS32" s="117">
        <v>1.5783880273535853</v>
      </c>
      <c r="AT32" s="117">
        <v>14.544958741442427</v>
      </c>
      <c r="AU32" s="117">
        <v>12.076311653527407</v>
      </c>
      <c r="AV32" s="117">
        <v>6.2946437506737976</v>
      </c>
      <c r="AW32" s="117">
        <v>9.1687372230717994</v>
      </c>
      <c r="AX32" s="117">
        <v>31.738779087762033</v>
      </c>
      <c r="AY32" s="117">
        <v>17.427621027586959</v>
      </c>
      <c r="AZ32" s="117">
        <v>2.5743064501038795</v>
      </c>
      <c r="BA32" s="117">
        <v>7.695574914871159</v>
      </c>
      <c r="BB32" s="117">
        <v>1.7730055678894894</v>
      </c>
      <c r="BC32" s="117">
        <v>30.555719356282246</v>
      </c>
      <c r="BD32" s="117">
        <v>4.6456641512987922</v>
      </c>
      <c r="BE32" s="1">
        <f t="shared" si="2"/>
        <v>4479.8629979142079</v>
      </c>
    </row>
    <row r="33" spans="1:57" ht="15.6">
      <c r="A33" s="86" t="s">
        <v>21</v>
      </c>
      <c r="B33" s="79">
        <v>0.21080831408776088</v>
      </c>
      <c r="C33" s="120">
        <v>12.644329400395607</v>
      </c>
      <c r="D33" s="120">
        <v>65.865885639737286</v>
      </c>
      <c r="E33" s="120">
        <v>247.40341828263905</v>
      </c>
      <c r="F33" s="120">
        <v>363.38994608077468</v>
      </c>
      <c r="G33" s="120">
        <v>1567.2527011264708</v>
      </c>
      <c r="H33" s="120">
        <v>106.45574988283295</v>
      </c>
      <c r="I33" s="120">
        <v>129.60321148256884</v>
      </c>
      <c r="J33" s="121">
        <v>139.67013836679885</v>
      </c>
      <c r="K33" s="121">
        <v>1652.9537009744513</v>
      </c>
      <c r="L33" s="120">
        <v>381.91497995458798</v>
      </c>
      <c r="M33" s="120">
        <v>10.423782810410565</v>
      </c>
      <c r="N33" s="120">
        <v>67.136548792748613</v>
      </c>
      <c r="O33" s="120">
        <v>26.481588592952129</v>
      </c>
      <c r="P33" s="120">
        <v>1.5559274334855786</v>
      </c>
      <c r="Q33" s="120">
        <v>16.165539461548249</v>
      </c>
      <c r="R33" s="120">
        <v>13.081566795704147</v>
      </c>
      <c r="S33" s="120">
        <v>6.3343866393598818</v>
      </c>
      <c r="T33" s="120">
        <v>9.5137244254288618</v>
      </c>
      <c r="U33" s="120">
        <v>28.095681162468765</v>
      </c>
      <c r="V33" s="120">
        <v>14.648549899502125</v>
      </c>
      <c r="W33" s="120">
        <v>2.2977538294909214</v>
      </c>
      <c r="X33" s="120">
        <v>6.9175066024744751</v>
      </c>
      <c r="Y33" s="120">
        <v>1.9473520509138802</v>
      </c>
      <c r="Z33" s="120">
        <v>24.683855266395913</v>
      </c>
      <c r="AA33" s="120">
        <v>3.6671528632075496</v>
      </c>
      <c r="AB33" s="27">
        <f t="shared" si="1"/>
        <v>4900.1049778173492</v>
      </c>
      <c r="AD33" s="1" t="s">
        <v>21</v>
      </c>
      <c r="AE33" s="9">
        <v>0.21080831408776088</v>
      </c>
      <c r="AF33" s="117">
        <v>12.644329400395607</v>
      </c>
      <c r="AG33" s="117">
        <v>65.865885639737286</v>
      </c>
      <c r="AH33" s="117">
        <v>247.40341828263905</v>
      </c>
      <c r="AI33" s="117">
        <v>363.38994608077468</v>
      </c>
      <c r="AJ33" s="117">
        <v>1567.2527011264708</v>
      </c>
      <c r="AK33" s="117">
        <v>106.45574988283295</v>
      </c>
      <c r="AL33" s="117">
        <v>129.60321148256884</v>
      </c>
      <c r="AM33" s="18">
        <v>139.67013836679885</v>
      </c>
      <c r="AN33" s="18">
        <v>1652.9537009744513</v>
      </c>
      <c r="AO33" s="117">
        <v>381.91497995458798</v>
      </c>
      <c r="AP33" s="117">
        <v>10.423782810410565</v>
      </c>
      <c r="AQ33" s="117">
        <v>67.136548792748613</v>
      </c>
      <c r="AR33" s="117">
        <v>26.481588592952129</v>
      </c>
      <c r="AS33" s="117">
        <v>1.5559274334855786</v>
      </c>
      <c r="AT33" s="117">
        <v>16.165539461548249</v>
      </c>
      <c r="AU33" s="117">
        <v>13.081566795704147</v>
      </c>
      <c r="AV33" s="117">
        <v>6.3343866393598818</v>
      </c>
      <c r="AW33" s="117">
        <v>9.5137244254288618</v>
      </c>
      <c r="AX33" s="117">
        <v>28.095681162468765</v>
      </c>
      <c r="AY33" s="117">
        <v>14.648549899502125</v>
      </c>
      <c r="AZ33" s="117">
        <v>2.2977538294909214</v>
      </c>
      <c r="BA33" s="117">
        <v>6.9175066024744751</v>
      </c>
      <c r="BB33" s="117">
        <v>1.9473520509138802</v>
      </c>
      <c r="BC33" s="117">
        <v>24.683855266395913</v>
      </c>
      <c r="BD33" s="117">
        <v>3.6671528632075496</v>
      </c>
      <c r="BE33" s="1">
        <f t="shared" si="2"/>
        <v>4900.1049778173492</v>
      </c>
    </row>
    <row r="35" spans="1:57">
      <c r="AF35" s="131" t="s">
        <v>332</v>
      </c>
      <c r="AG35" s="131"/>
      <c r="AH35" s="131"/>
    </row>
    <row r="38" spans="1:57">
      <c r="A38" s="16" t="s">
        <v>1</v>
      </c>
      <c r="B38" s="16" t="s">
        <v>61</v>
      </c>
      <c r="C38" s="119">
        <v>0.25</v>
      </c>
      <c r="D38" s="119">
        <v>0.33333333333333331</v>
      </c>
      <c r="E38" s="119">
        <v>0.41666666666666669</v>
      </c>
      <c r="F38" s="119">
        <v>0.5</v>
      </c>
      <c r="G38" s="119">
        <v>0.58333333333333337</v>
      </c>
      <c r="H38" s="16" t="s">
        <v>303</v>
      </c>
      <c r="I38" s="119">
        <v>0.625</v>
      </c>
      <c r="J38" s="119">
        <v>0.70833333333333337</v>
      </c>
      <c r="K38" s="119">
        <v>0.75</v>
      </c>
      <c r="L38" s="16" t="s">
        <v>304</v>
      </c>
      <c r="M38" s="16" t="s">
        <v>305</v>
      </c>
      <c r="N38" s="16" t="s">
        <v>306</v>
      </c>
      <c r="O38" s="119">
        <v>0.83333333333333337</v>
      </c>
      <c r="P38" s="16" t="s">
        <v>307</v>
      </c>
      <c r="Q38" s="16" t="s">
        <v>308</v>
      </c>
      <c r="R38" s="16" t="s">
        <v>309</v>
      </c>
      <c r="S38" s="16" t="s">
        <v>310</v>
      </c>
      <c r="T38" s="119">
        <v>0.91666666666666663</v>
      </c>
      <c r="U38" s="16" t="s">
        <v>311</v>
      </c>
      <c r="V38" s="16" t="s">
        <v>312</v>
      </c>
      <c r="W38" s="16" t="s">
        <v>313</v>
      </c>
      <c r="X38" s="16" t="s">
        <v>314</v>
      </c>
      <c r="Y38" s="16" t="s">
        <v>315</v>
      </c>
      <c r="Z38" s="16" t="s">
        <v>316</v>
      </c>
      <c r="AA38" s="16" t="s">
        <v>317</v>
      </c>
      <c r="AB38" s="16" t="s">
        <v>318</v>
      </c>
    </row>
    <row r="39" spans="1:57">
      <c r="A39" s="16" t="s">
        <v>9</v>
      </c>
      <c r="B39" s="16">
        <v>0.25479248625475714</v>
      </c>
      <c r="C39" s="16">
        <v>21.978670124518501</v>
      </c>
      <c r="D39" s="16">
        <v>34.263176819115401</v>
      </c>
      <c r="E39" s="16">
        <v>478.232313334389</v>
      </c>
      <c r="F39" s="16">
        <v>1656.3675272590201</v>
      </c>
      <c r="G39" s="16">
        <v>10669.5454119475</v>
      </c>
      <c r="H39" s="16">
        <v>800.37682115947496</v>
      </c>
      <c r="I39" s="16">
        <v>898.61362709102798</v>
      </c>
      <c r="J39" s="16">
        <v>733.03053999794895</v>
      </c>
      <c r="K39" s="16">
        <v>4415.7711228579901</v>
      </c>
      <c r="L39" s="16">
        <v>1504.0474937710601</v>
      </c>
      <c r="M39" s="16">
        <v>57.105294698525697</v>
      </c>
      <c r="N39" s="16">
        <v>526.15366373088398</v>
      </c>
      <c r="O39" s="16">
        <v>130.69459199043999</v>
      </c>
      <c r="P39" s="16">
        <v>14.6393642079382</v>
      </c>
      <c r="Q39" s="16">
        <v>74.688230798140495</v>
      </c>
      <c r="R39" s="16">
        <v>63.6596481106589</v>
      </c>
      <c r="S39" s="16">
        <v>38.3841774674626</v>
      </c>
      <c r="T39" s="16">
        <v>70.998954027239193</v>
      </c>
      <c r="U39" s="16">
        <v>202.43925089690401</v>
      </c>
      <c r="V39" s="16">
        <v>204.51937503368899</v>
      </c>
      <c r="W39" s="16">
        <v>29.945938044656401</v>
      </c>
      <c r="X39" s="16">
        <v>29.985185669878799</v>
      </c>
      <c r="Y39" s="16">
        <v>9.7726586803662592</v>
      </c>
      <c r="Z39" s="16">
        <v>341.33659655881598</v>
      </c>
      <c r="AA39" s="16">
        <v>61.618771599096497</v>
      </c>
      <c r="AB39" s="16">
        <f>C39+D39+E39+F39+G39+H39+I39+J39+K39+L39+M39+N39+O39+P39+Q39+R39+S39+T39+U39+V39+W39+X39+Y39+Z39+AA39</f>
        <v>23068.168405876739</v>
      </c>
    </row>
    <row r="40" spans="1:57">
      <c r="A40" s="16" t="s">
        <v>10</v>
      </c>
      <c r="B40" s="16">
        <v>0.2665647596489939</v>
      </c>
      <c r="C40" s="16">
        <v>27.723094380517502</v>
      </c>
      <c r="D40" s="16">
        <v>266.83947270449301</v>
      </c>
      <c r="E40" s="16">
        <v>1304.5985523367699</v>
      </c>
      <c r="F40" s="16">
        <v>2722.1527706813099</v>
      </c>
      <c r="G40" s="16">
        <v>14694.140365740701</v>
      </c>
      <c r="H40" s="16">
        <v>1080.4128797819999</v>
      </c>
      <c r="I40" s="16">
        <v>986.62703952315303</v>
      </c>
      <c r="J40" s="16">
        <v>1110.32840687568</v>
      </c>
      <c r="K40" s="16">
        <v>8760.9726394441604</v>
      </c>
      <c r="L40" s="16">
        <v>2845.4999077897601</v>
      </c>
      <c r="M40" s="16">
        <v>81.143508991961198</v>
      </c>
      <c r="N40" s="16">
        <v>442.21899398855197</v>
      </c>
      <c r="O40" s="16">
        <v>193.42391694986199</v>
      </c>
      <c r="P40" s="16">
        <v>22.508601662125098</v>
      </c>
      <c r="Q40" s="16">
        <v>116.181898912669</v>
      </c>
      <c r="R40" s="16">
        <v>92.285266814713196</v>
      </c>
      <c r="S40" s="16">
        <v>55.071045399999598</v>
      </c>
      <c r="T40" s="16">
        <v>79.868021564440795</v>
      </c>
      <c r="U40" s="16">
        <v>411.30718103923402</v>
      </c>
      <c r="V40" s="16">
        <v>182.43221647152399</v>
      </c>
      <c r="W40" s="16">
        <v>26.522635625204099</v>
      </c>
      <c r="X40" s="16">
        <v>79.943050236647906</v>
      </c>
      <c r="Y40" s="16">
        <v>18.194453010217799</v>
      </c>
      <c r="Z40" s="16">
        <v>409.05632087302098</v>
      </c>
      <c r="AA40" s="16">
        <v>63.811885712124798</v>
      </c>
      <c r="AB40" s="16">
        <f t="shared" ref="AB40:AB51" si="3">C40+D40+E40+F40+G40+H40+I40+J40+K40+L40+M40+N40+O40+P40+Q40+R40+S40+T40+U40+V40+W40+X40+Y40+Z40+AA40</f>
        <v>36073.26412651084</v>
      </c>
    </row>
    <row r="41" spans="1:57">
      <c r="A41" s="16" t="s">
        <v>11</v>
      </c>
      <c r="B41" s="16">
        <v>0.24876220922669601</v>
      </c>
      <c r="C41" s="16">
        <v>28.259919496051701</v>
      </c>
      <c r="D41" s="16">
        <v>104.79887642419099</v>
      </c>
      <c r="E41" s="16">
        <v>874.32894600160103</v>
      </c>
      <c r="F41" s="16">
        <v>1959.38121774758</v>
      </c>
      <c r="G41" s="16">
        <v>10772.536595379701</v>
      </c>
      <c r="H41" s="16">
        <v>769.97225892940901</v>
      </c>
      <c r="I41" s="16">
        <v>732.98914948934203</v>
      </c>
      <c r="J41" s="16">
        <v>676.42989615034298</v>
      </c>
      <c r="K41" s="16">
        <v>7309.1006761400804</v>
      </c>
      <c r="L41" s="16">
        <v>2293.2341785081899</v>
      </c>
      <c r="M41" s="16">
        <v>79.955874648146406</v>
      </c>
      <c r="N41" s="16">
        <v>353.06809805664602</v>
      </c>
      <c r="O41" s="16">
        <v>173.257827920317</v>
      </c>
      <c r="P41" s="16">
        <v>21.627079216039601</v>
      </c>
      <c r="Q41" s="16">
        <v>102.587929664187</v>
      </c>
      <c r="R41" s="16">
        <v>83.453190432152795</v>
      </c>
      <c r="S41" s="16">
        <v>44.902318744082201</v>
      </c>
      <c r="T41" s="16">
        <v>71.634675024131099</v>
      </c>
      <c r="U41" s="16">
        <v>298.47781260054597</v>
      </c>
      <c r="V41" s="16">
        <v>130.84784916023901</v>
      </c>
      <c r="W41" s="16">
        <v>30.1492740000552</v>
      </c>
      <c r="X41" s="16">
        <v>52.540134824096199</v>
      </c>
      <c r="Y41" s="16">
        <v>10.612544448019399</v>
      </c>
      <c r="Z41" s="16">
        <v>236.531104288433</v>
      </c>
      <c r="AA41" s="16">
        <v>35.133953968064297</v>
      </c>
      <c r="AB41" s="16">
        <f t="shared" si="3"/>
        <v>27245.811381261639</v>
      </c>
    </row>
    <row r="42" spans="1:57">
      <c r="A42" s="16" t="s">
        <v>12</v>
      </c>
      <c r="B42" s="16">
        <v>0.24045908002074934</v>
      </c>
      <c r="C42" s="16">
        <v>28.445588330455202</v>
      </c>
      <c r="D42" s="16">
        <v>159.48659539078301</v>
      </c>
      <c r="E42" s="16">
        <v>1497.7184475628801</v>
      </c>
      <c r="F42" s="16">
        <v>3326.9278082574301</v>
      </c>
      <c r="G42" s="16">
        <v>17693.197528660501</v>
      </c>
      <c r="H42" s="16">
        <v>1403.44045232145</v>
      </c>
      <c r="I42" s="16">
        <v>1022.00341114172</v>
      </c>
      <c r="J42" s="16">
        <v>955.64165054611306</v>
      </c>
      <c r="K42" s="16">
        <v>8564.2080848017795</v>
      </c>
      <c r="L42" s="16">
        <v>3146.64765414556</v>
      </c>
      <c r="M42" s="16">
        <v>86.293268692535904</v>
      </c>
      <c r="N42" s="16">
        <v>488.274345888705</v>
      </c>
      <c r="O42" s="16">
        <v>189.387732831715</v>
      </c>
      <c r="P42" s="16">
        <v>16.4684985071056</v>
      </c>
      <c r="Q42" s="16">
        <v>112.45156556367</v>
      </c>
      <c r="R42" s="16">
        <v>81.344401716915797</v>
      </c>
      <c r="S42" s="16">
        <v>56.641653956257301</v>
      </c>
      <c r="T42" s="16">
        <v>81.261227482031401</v>
      </c>
      <c r="U42" s="16">
        <v>398.820456270563</v>
      </c>
      <c r="V42" s="16">
        <v>167.388147704798</v>
      </c>
      <c r="W42" s="16">
        <v>30.3170086153536</v>
      </c>
      <c r="X42" s="16">
        <v>67.703827195878802</v>
      </c>
      <c r="Y42" s="16">
        <v>13.224703346615099</v>
      </c>
      <c r="Z42" s="16">
        <v>353.116214201601</v>
      </c>
      <c r="AA42" s="16">
        <v>72.777455523825495</v>
      </c>
      <c r="AB42" s="16">
        <f t="shared" si="3"/>
        <v>40013.187728656259</v>
      </c>
    </row>
    <row r="43" spans="1:57">
      <c r="A43" s="16" t="s">
        <v>13</v>
      </c>
      <c r="B43" s="16">
        <v>0.22939153077564695</v>
      </c>
      <c r="C43" s="16">
        <v>29.643640156880899</v>
      </c>
      <c r="D43" s="16">
        <v>25.1535005448828</v>
      </c>
      <c r="E43" s="16">
        <v>150.615848150034</v>
      </c>
      <c r="F43" s="16">
        <v>366.40411105674099</v>
      </c>
      <c r="G43" s="16">
        <v>2058.48924736458</v>
      </c>
      <c r="H43" s="16">
        <v>133.48356788289601</v>
      </c>
      <c r="I43" s="16">
        <v>148.436168726734</v>
      </c>
      <c r="J43" s="16">
        <v>184.00879032452099</v>
      </c>
      <c r="K43" s="16">
        <v>1451.35631097034</v>
      </c>
      <c r="L43" s="16">
        <v>508.73717739823599</v>
      </c>
      <c r="M43" s="16">
        <v>15.8244726131585</v>
      </c>
      <c r="N43" s="16">
        <v>77.204245173288399</v>
      </c>
      <c r="O43" s="16">
        <v>34.526122065072997</v>
      </c>
      <c r="P43" s="16">
        <v>4.4029524350661404</v>
      </c>
      <c r="Q43" s="16">
        <v>19.5735212212346</v>
      </c>
      <c r="R43" s="16">
        <v>17.393841797934499</v>
      </c>
      <c r="S43" s="16">
        <v>10.070118935646301</v>
      </c>
      <c r="T43" s="16">
        <v>34.133779768879002</v>
      </c>
      <c r="U43" s="16">
        <v>83.525315500858596</v>
      </c>
      <c r="V43" s="16">
        <v>36.357052780645098</v>
      </c>
      <c r="W43" s="16">
        <v>12.293391947412299</v>
      </c>
      <c r="X43" s="16">
        <v>16.652750794012501</v>
      </c>
      <c r="Y43" s="16">
        <v>4.4029524350661404</v>
      </c>
      <c r="Z43" s="16">
        <v>80.517357896704496</v>
      </c>
      <c r="AA43" s="16">
        <v>14.124322662984399</v>
      </c>
      <c r="AB43" s="16">
        <f t="shared" si="3"/>
        <v>5517.3305606038102</v>
      </c>
    </row>
    <row r="44" spans="1:57">
      <c r="A44" s="16" t="s">
        <v>14</v>
      </c>
      <c r="B44" s="16">
        <v>0.20534708516324557</v>
      </c>
      <c r="C44" s="16">
        <v>35.111284876529901</v>
      </c>
      <c r="D44" s="16">
        <v>170.78401672952799</v>
      </c>
      <c r="E44" s="16">
        <v>1441.5592994660699</v>
      </c>
      <c r="F44" s="16">
        <v>2947.0591218764998</v>
      </c>
      <c r="G44" s="16">
        <v>15121.9580253598</v>
      </c>
      <c r="H44" s="16">
        <v>1121.61319455788</v>
      </c>
      <c r="I44" s="16">
        <v>1036.0994410999299</v>
      </c>
      <c r="J44" s="16">
        <v>1090.88800164852</v>
      </c>
      <c r="K44" s="16">
        <v>10763.854334723001</v>
      </c>
      <c r="L44" s="16">
        <v>3381.8351986832399</v>
      </c>
      <c r="M44" s="16">
        <v>104.798176219545</v>
      </c>
      <c r="N44" s="16">
        <v>663.94904023107995</v>
      </c>
      <c r="O44" s="16">
        <v>220.309920639974</v>
      </c>
      <c r="P44" s="16">
        <v>20.940156028998398</v>
      </c>
      <c r="Q44" s="16">
        <v>134.50397895835701</v>
      </c>
      <c r="R44" s="16">
        <v>108.499227052577</v>
      </c>
      <c r="S44" s="16">
        <v>67.349385553732105</v>
      </c>
      <c r="T44" s="16">
        <v>95.983831472455506</v>
      </c>
      <c r="U44" s="16">
        <v>370.83555386237799</v>
      </c>
      <c r="V44" s="16">
        <v>192.016360982187</v>
      </c>
      <c r="W44" s="16">
        <v>29.559708626981401</v>
      </c>
      <c r="X44" s="16">
        <v>77.381181232740602</v>
      </c>
      <c r="Y44" s="16">
        <v>17.677387531456802</v>
      </c>
      <c r="Z44" s="16">
        <v>362.99516986082301</v>
      </c>
      <c r="AA44" s="16">
        <v>54.200915489012097</v>
      </c>
      <c r="AB44" s="16">
        <f t="shared" si="3"/>
        <v>39631.761912763286</v>
      </c>
    </row>
    <row r="45" spans="1:57">
      <c r="A45" s="16" t="s">
        <v>15</v>
      </c>
      <c r="B45" s="16">
        <v>0.19496614247882196</v>
      </c>
      <c r="C45" s="16">
        <v>36.980779975632899</v>
      </c>
      <c r="D45" s="16">
        <v>292.87136430078198</v>
      </c>
      <c r="E45" s="16">
        <v>1769.12768782181</v>
      </c>
      <c r="F45" s="16">
        <v>3269.8497978177102</v>
      </c>
      <c r="G45" s="16">
        <v>16150.342657957501</v>
      </c>
      <c r="H45" s="16">
        <v>1180.4613746729401</v>
      </c>
      <c r="I45" s="16">
        <v>1163.5353588727201</v>
      </c>
      <c r="J45" s="16">
        <v>1214.7000118615399</v>
      </c>
      <c r="K45" s="16">
        <v>12194.8375067092</v>
      </c>
      <c r="L45" s="16">
        <v>3569.8506051373702</v>
      </c>
      <c r="M45" s="16">
        <v>114.943034570587</v>
      </c>
      <c r="N45" s="16">
        <v>662.16625448740695</v>
      </c>
      <c r="O45" s="16">
        <v>259.68611514095602</v>
      </c>
      <c r="P45" s="16">
        <v>20.3625099172347</v>
      </c>
      <c r="Q45" s="16">
        <v>148.179574687383</v>
      </c>
      <c r="R45" s="16">
        <v>121.969895675527</v>
      </c>
      <c r="S45" s="16">
        <v>75.089961004613798</v>
      </c>
      <c r="T45" s="16">
        <v>99.8122022643295</v>
      </c>
      <c r="U45" s="16">
        <v>380.52760976313499</v>
      </c>
      <c r="V45" s="16">
        <v>190.289450360052</v>
      </c>
      <c r="W45" s="16">
        <v>27.132916237322799</v>
      </c>
      <c r="X45" s="16">
        <v>81.655203496820405</v>
      </c>
      <c r="Y45" s="16">
        <v>18.823781208123801</v>
      </c>
      <c r="Z45" s="16">
        <v>365.39677745687698</v>
      </c>
      <c r="AA45" s="16">
        <v>54.881323958290103</v>
      </c>
      <c r="AB45" s="16">
        <f t="shared" si="3"/>
        <v>43463.473755355844</v>
      </c>
    </row>
    <row r="46" spans="1:57">
      <c r="A46" s="16" t="s">
        <v>16</v>
      </c>
      <c r="B46" s="16">
        <v>0.16855272679079111</v>
      </c>
      <c r="C46" s="16">
        <v>44.674447776807497</v>
      </c>
      <c r="D46" s="16">
        <v>374.83819529066398</v>
      </c>
      <c r="E46" s="16">
        <v>2139.9238470938499</v>
      </c>
      <c r="F46" s="16">
        <v>3623.7918595051801</v>
      </c>
      <c r="G46" s="16">
        <v>16875.6094939953</v>
      </c>
      <c r="H46" s="16">
        <v>1212.38026602797</v>
      </c>
      <c r="I46" s="16">
        <v>1286.3037214461599</v>
      </c>
      <c r="J46" s="16">
        <v>1364.7002756591401</v>
      </c>
      <c r="K46" s="16">
        <v>14283.4933427093</v>
      </c>
      <c r="L46" s="16">
        <v>3854.8768184569299</v>
      </c>
      <c r="M46" s="16">
        <v>136.39648796664</v>
      </c>
      <c r="N46" s="16">
        <v>734.42893629362595</v>
      </c>
      <c r="O46" s="16">
        <v>295.57516444097598</v>
      </c>
      <c r="P46" s="16">
        <v>25.570633455250999</v>
      </c>
      <c r="Q46" s="16">
        <v>168.49326917149099</v>
      </c>
      <c r="R46" s="16">
        <v>140.25284800049499</v>
      </c>
      <c r="S46" s="16">
        <v>82.763419188109594</v>
      </c>
      <c r="T46" s="16">
        <v>117.94528842004399</v>
      </c>
      <c r="U46" s="16">
        <v>387.29720463080901</v>
      </c>
      <c r="V46" s="16">
        <v>211.03188677570299</v>
      </c>
      <c r="W46" s="16">
        <v>42.123317292872898</v>
      </c>
      <c r="X46" s="16">
        <v>92.018683269360494</v>
      </c>
      <c r="Y46" s="16">
        <v>17.620598923920099</v>
      </c>
      <c r="Z46" s="16">
        <v>340.36826944959398</v>
      </c>
      <c r="AA46" s="16">
        <v>49.480065665149397</v>
      </c>
      <c r="AB46" s="16">
        <f t="shared" si="3"/>
        <v>47901.958340905323</v>
      </c>
    </row>
    <row r="47" spans="1:57">
      <c r="A47" s="16" t="s">
        <v>17</v>
      </c>
      <c r="B47" s="16">
        <v>0.15019812620948753</v>
      </c>
      <c r="C47" s="16">
        <v>40.346708453606098</v>
      </c>
      <c r="D47" s="16">
        <v>185.95438401142201</v>
      </c>
      <c r="E47" s="16">
        <v>2366.6074235839601</v>
      </c>
      <c r="F47" s="16">
        <v>4099.11905292347</v>
      </c>
      <c r="G47" s="16">
        <v>17788.5042320701</v>
      </c>
      <c r="H47" s="16">
        <v>1207.0057385402999</v>
      </c>
      <c r="I47" s="16">
        <v>1479.77878232648</v>
      </c>
      <c r="J47" s="16">
        <v>1615.2843851061</v>
      </c>
      <c r="K47" s="16">
        <v>18805.721497483901</v>
      </c>
      <c r="L47" s="16">
        <v>4415.9006351384096</v>
      </c>
      <c r="M47" s="16">
        <v>147.47187990880701</v>
      </c>
      <c r="N47" s="16">
        <v>829.50435746448602</v>
      </c>
      <c r="O47" s="16">
        <v>342.48097076790401</v>
      </c>
      <c r="P47" s="16">
        <v>26.032282187062702</v>
      </c>
      <c r="Q47" s="16">
        <v>194.67619722499001</v>
      </c>
      <c r="R47" s="16">
        <v>158.39079110747301</v>
      </c>
      <c r="S47" s="16">
        <v>95.207579354219106</v>
      </c>
      <c r="T47" s="16">
        <v>125.034848970086</v>
      </c>
      <c r="U47" s="16">
        <v>364.51852934569899</v>
      </c>
      <c r="V47" s="16">
        <v>175.76783880778899</v>
      </c>
      <c r="W47" s="16">
        <v>26.498333274810602</v>
      </c>
      <c r="X47" s="16">
        <v>83.756038340984304</v>
      </c>
      <c r="Y47" s="16">
        <v>20.239932953624201</v>
      </c>
      <c r="Z47" s="16">
        <v>297.606908890461</v>
      </c>
      <c r="AA47" s="16">
        <v>42.077755350955499</v>
      </c>
      <c r="AB47" s="16">
        <f t="shared" si="3"/>
        <v>54933.487083587104</v>
      </c>
    </row>
    <row r="48" spans="1:57">
      <c r="A48" s="16" t="s">
        <v>18</v>
      </c>
      <c r="B48" s="16">
        <v>0.22087830294008207</v>
      </c>
      <c r="C48" s="16">
        <v>1140.89974695251</v>
      </c>
      <c r="D48" s="16">
        <v>2133.30143160326</v>
      </c>
      <c r="E48" s="16">
        <v>7633.1625927060804</v>
      </c>
      <c r="F48" s="16">
        <v>13667.7073256941</v>
      </c>
      <c r="G48" s="16">
        <v>68741.926181857707</v>
      </c>
      <c r="H48" s="16">
        <v>5072.4764939904398</v>
      </c>
      <c r="I48" s="16">
        <v>4765.0673955060201</v>
      </c>
      <c r="J48" s="16">
        <v>4865.3865744341501</v>
      </c>
      <c r="K48" s="16">
        <v>49556.747816918898</v>
      </c>
      <c r="L48" s="16">
        <v>15188.9069882975</v>
      </c>
      <c r="M48" s="16">
        <v>455.90716078618101</v>
      </c>
      <c r="N48" s="16">
        <v>3011.1604035639398</v>
      </c>
      <c r="O48" s="16">
        <v>986.063352723241</v>
      </c>
      <c r="P48" s="16">
        <v>101.86604883504501</v>
      </c>
      <c r="Q48" s="16">
        <v>617.98736293261004</v>
      </c>
      <c r="R48" s="16">
        <v>517.02679008720895</v>
      </c>
      <c r="S48" s="16">
        <v>264.39898897629598</v>
      </c>
      <c r="T48" s="16">
        <v>406.55871935053699</v>
      </c>
      <c r="U48" s="16">
        <v>1571.90631802345</v>
      </c>
      <c r="V48" s="16">
        <v>908.19241761378396</v>
      </c>
      <c r="W48" s="16">
        <v>117.71187865383</v>
      </c>
      <c r="X48" s="16">
        <v>349.06099400808898</v>
      </c>
      <c r="Y48" s="16">
        <v>90.094860969662506</v>
      </c>
      <c r="Z48" s="16">
        <v>1548.3639422926899</v>
      </c>
      <c r="AA48" s="16">
        <v>241.30935124035199</v>
      </c>
      <c r="AB48" s="16">
        <f t="shared" si="3"/>
        <v>183953.19113801754</v>
      </c>
    </row>
    <row r="49" spans="1:28">
      <c r="A49" s="16" t="s">
        <v>19</v>
      </c>
      <c r="B49" s="16">
        <v>0.22210840007450242</v>
      </c>
      <c r="C49" s="16">
        <v>1895.92109078269</v>
      </c>
      <c r="D49" s="16">
        <v>2036.84327112346</v>
      </c>
      <c r="E49" s="16">
        <v>7252.3146355563304</v>
      </c>
      <c r="F49" s="16">
        <v>12549.2777400584</v>
      </c>
      <c r="G49" s="16">
        <v>61686.545848783702</v>
      </c>
      <c r="H49" s="16">
        <v>4487.4484711068999</v>
      </c>
      <c r="I49" s="16">
        <v>4467.1880937416099</v>
      </c>
      <c r="J49" s="16">
        <v>4539.5199416140904</v>
      </c>
      <c r="K49" s="16">
        <v>46807.345512371401</v>
      </c>
      <c r="L49" s="16">
        <v>13488.9090191996</v>
      </c>
      <c r="M49" s="16">
        <v>441.22599595512798</v>
      </c>
      <c r="N49" s="16">
        <v>2410.5346758609699</v>
      </c>
      <c r="O49" s="16">
        <v>996.36033576397801</v>
      </c>
      <c r="P49" s="16">
        <v>72.036897298796404</v>
      </c>
      <c r="Q49" s="16">
        <v>574.94448656601901</v>
      </c>
      <c r="R49" s="16">
        <v>480.846289469466</v>
      </c>
      <c r="S49" s="16">
        <v>269.68813426236898</v>
      </c>
      <c r="T49" s="16">
        <v>374.59186595374098</v>
      </c>
      <c r="U49" s="16">
        <v>1396.6153463804101</v>
      </c>
      <c r="V49" s="16">
        <v>703.71044048761701</v>
      </c>
      <c r="W49" s="16">
        <v>101.301886826432</v>
      </c>
      <c r="X49" s="16">
        <v>308.407966560472</v>
      </c>
      <c r="Y49" s="16">
        <v>72.487127906913898</v>
      </c>
      <c r="Z49" s="16">
        <v>1316.9245287436199</v>
      </c>
      <c r="AA49" s="16">
        <v>199.00192878792501</v>
      </c>
      <c r="AB49" s="16">
        <f t="shared" si="3"/>
        <v>168929.99153116203</v>
      </c>
    </row>
    <row r="50" spans="1:28">
      <c r="A50" s="16" t="s">
        <v>20</v>
      </c>
      <c r="B50" s="16">
        <v>0.21865101546487486</v>
      </c>
      <c r="C50" s="16">
        <v>1486.3868800243099</v>
      </c>
      <c r="D50" s="16">
        <v>2732.2077603893099</v>
      </c>
      <c r="E50" s="16">
        <v>9801.4637617849603</v>
      </c>
      <c r="F50" s="16">
        <v>15392.5651797225</v>
      </c>
      <c r="G50" s="16">
        <v>70845.772200051302</v>
      </c>
      <c r="H50" s="16">
        <v>5079.78433120925</v>
      </c>
      <c r="I50" s="16">
        <v>5433.3157337504199</v>
      </c>
      <c r="J50" s="16">
        <v>5670.8600277936002</v>
      </c>
      <c r="K50" s="16">
        <v>61396.301590459101</v>
      </c>
      <c r="L50" s="16">
        <v>16117.0072775559</v>
      </c>
      <c r="M50" s="16">
        <v>465.58210580453903</v>
      </c>
      <c r="N50" s="16">
        <v>2964.0841136731001</v>
      </c>
      <c r="O50" s="16">
        <v>1094.8954433163699</v>
      </c>
      <c r="P50" s="16">
        <v>72.261269859643605</v>
      </c>
      <c r="Q50" s="16">
        <v>664.98662263241704</v>
      </c>
      <c r="R50" s="16">
        <v>552.47856955980706</v>
      </c>
      <c r="S50" s="16">
        <v>287.67303001085997</v>
      </c>
      <c r="T50" s="16">
        <v>419.38977507147598</v>
      </c>
      <c r="U50" s="16">
        <v>1451.6282945221999</v>
      </c>
      <c r="V50" s="16">
        <v>797.16071750227104</v>
      </c>
      <c r="W50" s="16">
        <v>117.53890097423</v>
      </c>
      <c r="X50" s="16">
        <v>352.15935311345299</v>
      </c>
      <c r="Y50" s="16">
        <v>80.950916235170396</v>
      </c>
      <c r="Z50" s="16">
        <v>1397.6610170320901</v>
      </c>
      <c r="AA50" s="16">
        <v>212.66766129578599</v>
      </c>
      <c r="AB50" s="16">
        <f t="shared" si="3"/>
        <v>204886.78253334406</v>
      </c>
    </row>
    <row r="51" spans="1:28">
      <c r="A51" s="16" t="s">
        <v>21</v>
      </c>
      <c r="B51" s="16">
        <v>0.21080831408776088</v>
      </c>
      <c r="C51" s="16">
        <v>599.59684512253102</v>
      </c>
      <c r="D51" s="16">
        <v>3124.6395718529302</v>
      </c>
      <c r="E51" s="16">
        <v>11735.780022414099</v>
      </c>
      <c r="F51" s="16">
        <v>17237.934932680098</v>
      </c>
      <c r="G51" s="16">
        <v>74344.790784674595</v>
      </c>
      <c r="H51" s="16">
        <v>5050.0854534608097</v>
      </c>
      <c r="I51" s="16">
        <v>6147.7651208765801</v>
      </c>
      <c r="J51" s="16">
        <v>6625.4568308914004</v>
      </c>
      <c r="K51" s="16">
        <v>78410.270906108504</v>
      </c>
      <c r="L51" s="16">
        <v>18116.458158286801</v>
      </c>
      <c r="M51" s="16">
        <v>494.28790555196002</v>
      </c>
      <c r="N51" s="16">
        <v>3184.88387512078</v>
      </c>
      <c r="O51" s="16">
        <v>1256.11744136429</v>
      </c>
      <c r="P51" s="16">
        <v>74.000876454995904</v>
      </c>
      <c r="Q51" s="16">
        <v>767.04754633159303</v>
      </c>
      <c r="R51" s="16">
        <v>620.46888719958099</v>
      </c>
      <c r="S51" s="16">
        <v>300.272787153926</v>
      </c>
      <c r="T51" s="16">
        <v>451.12072761987901</v>
      </c>
      <c r="U51" s="16">
        <v>1332.9645053752399</v>
      </c>
      <c r="V51" s="16">
        <v>694.94412824723702</v>
      </c>
      <c r="W51" s="16">
        <v>109.10385631185299</v>
      </c>
      <c r="X51" s="16">
        <v>328.26029812087899</v>
      </c>
      <c r="Y51" s="16">
        <v>92.501095568744901</v>
      </c>
      <c r="Z51" s="16">
        <v>1170.73181468544</v>
      </c>
      <c r="AA51" s="16">
        <v>174.09180550630401</v>
      </c>
      <c r="AB51" s="16">
        <f t="shared" si="3"/>
        <v>232443.57617698106</v>
      </c>
    </row>
    <row r="52" spans="1:28">
      <c r="B52" s="1"/>
    </row>
    <row r="53" spans="1:28">
      <c r="C53" s="131" t="s">
        <v>333</v>
      </c>
      <c r="D53" s="131"/>
      <c r="E53" s="131"/>
    </row>
  </sheetData>
  <mergeCells count="2">
    <mergeCell ref="AF35:AH35"/>
    <mergeCell ref="C53:E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 Pisoni</dc:creator>
  <cp:keywords/>
  <dc:description/>
  <cp:lastModifiedBy/>
  <cp:revision/>
  <dcterms:created xsi:type="dcterms:W3CDTF">2025-12-03T22:21:11Z</dcterms:created>
  <dcterms:modified xsi:type="dcterms:W3CDTF">2026-04-28T05:23:57Z</dcterms:modified>
  <cp:category/>
  <cp:contentStatus/>
</cp:coreProperties>
</file>